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ippel\Desktop\Paper II\Lama\"/>
    </mc:Choice>
  </mc:AlternateContent>
  <xr:revisionPtr revIDLastSave="0" documentId="8_{478FB6D5-6202-48DD-A2D5-6E0780DA0852}" xr6:coauthVersionLast="36" xr6:coauthVersionMax="36" xr10:uidLastSave="{00000000-0000-0000-0000-000000000000}"/>
  <bookViews>
    <workbookView xWindow="0" yWindow="0" windowWidth="9972" windowHeight="5496" xr2:uid="{45640EBC-96F7-714C-B97F-D74859E0B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</calcChain>
</file>

<file path=xl/sharedStrings.xml><?xml version="1.0" encoding="utf-8"?>
<sst xmlns="http://schemas.openxmlformats.org/spreadsheetml/2006/main" count="531" uniqueCount="139">
  <si>
    <t>merged</t>
  </si>
  <si>
    <t>LB</t>
  </si>
  <si>
    <t>read_fraction</t>
  </si>
  <si>
    <t xml:space="preserve">age </t>
  </si>
  <si>
    <t>depth</t>
  </si>
  <si>
    <t>lib_id</t>
  </si>
  <si>
    <t>NA</t>
  </si>
  <si>
    <t>samples</t>
  </si>
  <si>
    <t>paired</t>
  </si>
  <si>
    <t>type</t>
  </si>
  <si>
    <t>sample_name</t>
  </si>
  <si>
    <t>site</t>
  </si>
  <si>
    <t>core</t>
  </si>
  <si>
    <t>lib_batch</t>
  </si>
  <si>
    <t>extract</t>
  </si>
  <si>
    <t>sample</t>
  </si>
  <si>
    <t>blank</t>
  </si>
  <si>
    <t>Lama</t>
  </si>
  <si>
    <t>PG1341</t>
  </si>
  <si>
    <t>BH193L-8</t>
  </si>
  <si>
    <t>BH194L-8</t>
  </si>
  <si>
    <t>BH195L-7</t>
  </si>
  <si>
    <t>JK109L-8</t>
  </si>
  <si>
    <t>JK115L-5</t>
  </si>
  <si>
    <t>JK115L-8</t>
  </si>
  <si>
    <t>BH193L</t>
  </si>
  <si>
    <t>BH194L</t>
  </si>
  <si>
    <t>BH195L</t>
  </si>
  <si>
    <t>JK109L</t>
  </si>
  <si>
    <t>JK115L</t>
  </si>
  <si>
    <t>ELS124</t>
  </si>
  <si>
    <t>210810_A00902_B_L001_APMG-37-10_conf0.8_merged.kraken.report</t>
  </si>
  <si>
    <t>210810_A00902_B_L001_APMG-37-10_conf0.8_paired.kraken.report</t>
  </si>
  <si>
    <t>210810_A00902_B_L001_APMG-37-11_conf0.8_merged.kraken.report</t>
  </si>
  <si>
    <t>210810_A00902_B_L001_APMG-37-11_conf0.8_paired.kraken.report</t>
  </si>
  <si>
    <t>210810_A00902_B_L001_APMG-37-12_conf0.8_merged.kraken.report</t>
  </si>
  <si>
    <t>210810_A00902_B_L001_APMG-37-12_conf0.8_paired.kraken.report</t>
  </si>
  <si>
    <t>210810_A00902_B_L001_APMG-37-13_conf0.8_merged.kraken.report</t>
  </si>
  <si>
    <t>210810_A00902_B_L001_APMG-37-13_conf0.8_paired.kraken.report</t>
  </si>
  <si>
    <t>210810_A00902_B_L001_APMG-37-14_conf0.8_merged.kraken.report</t>
  </si>
  <si>
    <t>210810_A00902_B_L001_APMG-37-14_conf0.8_paired.kraken.report</t>
  </si>
  <si>
    <t>210810_A00902_B_L001_APMG-37-15_conf0.8_merged.kraken.report</t>
  </si>
  <si>
    <t>210810_A00902_B_L001_APMG-37-15_conf0.8_paired.kraken.report</t>
  </si>
  <si>
    <t>210810_A00902_B_L001_APMG-37-1_conf0.8_merged.kraken.report</t>
  </si>
  <si>
    <t>210810_A00902_B_L001_APMG-37-1_conf0.8_paired.kraken.report</t>
  </si>
  <si>
    <t>210810_A00902_B_L001_APMG-37-2_conf0.8_merged.kraken.report</t>
  </si>
  <si>
    <t>210810_A00902_B_L001_APMG-37-2_conf0.8_paired.kraken.report</t>
  </si>
  <si>
    <t>210810_A00902_B_L001_APMG-37-3_conf0.8_merged.kraken.report</t>
  </si>
  <si>
    <t>210810_A00902_B_L001_APMG-37-3_conf0.8_paired.kraken.report</t>
  </si>
  <si>
    <t>210810_A00902_B_L001_APMG-37-4_conf0.8_merged.kraken.report</t>
  </si>
  <si>
    <t>210810_A00902_B_L001_APMG-37-4_conf0.8_paired.kraken.report</t>
  </si>
  <si>
    <t>210810_A00902_B_L001_APMG-37-5_conf0.8_merged.kraken.report</t>
  </si>
  <si>
    <t>210810_A00902_B_L001_APMG-37-5_conf0.8_paired.kraken.report</t>
  </si>
  <si>
    <t>210810_A00902_B_L001_APMG-37-6_conf0.8_merged.kraken.report</t>
  </si>
  <si>
    <t>210810_A00902_B_L001_APMG-37-6_conf0.8_paired.kraken.report</t>
  </si>
  <si>
    <t>210810_A00902_B_L001_APMG-37-7_conf0.8_merged.kraken.report</t>
  </si>
  <si>
    <t>210810_A00902_B_L001_APMG-37-7_conf0.8_paired.kraken.report</t>
  </si>
  <si>
    <t>210810_A00902_B_L001_APMG-37-8_conf0.8_merged.kraken.report</t>
  </si>
  <si>
    <t>210810_A00902_B_L001_APMG-37-8_conf0.8_paired.kraken.report</t>
  </si>
  <si>
    <t>210810_A00902_B_L001_APMG-37-9_conf0.8_merged.kraken.report</t>
  </si>
  <si>
    <t>210810_A00902_B_L001_APMG-37-9_conf0.8_paired.kraken.report</t>
  </si>
  <si>
    <t>210810_A00902_B_L002_APMG-38-10_conf0.8_merged.kraken.report</t>
  </si>
  <si>
    <t>210810_A00902_B_L002_APMG-38-10_conf0.8_paired.kraken.report</t>
  </si>
  <si>
    <t>210810_A00902_B_L002_APMG-38-11_conf0.8_merged.kraken.report</t>
  </si>
  <si>
    <t>210810_A00902_B_L002_APMG-38-11_conf0.8_paired.kraken.report</t>
  </si>
  <si>
    <t>210810_A00902_B_L002_APMG-38-12_conf0.8_merged.kraken.report</t>
  </si>
  <si>
    <t>210810_A00902_B_L002_APMG-38-12_conf0.8_paired.kraken.report</t>
  </si>
  <si>
    <t>210810_A00902_B_L002_APMG-38-13_conf0.8_merged.kraken.report</t>
  </si>
  <si>
    <t>210810_A00902_B_L002_APMG-38-13_conf0.8_paired.kraken.report</t>
  </si>
  <si>
    <t>210810_A00902_B_L002_APMG-38-14_conf0.8_merged.kraken.report</t>
  </si>
  <si>
    <t>210810_A00902_B_L002_APMG-38-14_conf0.8_paired.kraken.report</t>
  </si>
  <si>
    <t>210810_A00902_B_L002_APMG-38-15_conf0.8_merged.kraken.report</t>
  </si>
  <si>
    <t>210810_A00902_B_L002_APMG-38-15_conf0.8_paired.kraken.report</t>
  </si>
  <si>
    <t>210810_A00902_B_L002_APMG-38-1_conf0.8_merged.kraken.report</t>
  </si>
  <si>
    <t>210810_A00902_B_L002_APMG-38-1_conf0.8_paired.kraken.report</t>
  </si>
  <si>
    <t>210810_A00902_B_L002_APMG-38-2_conf0.8_merged.kraken.report</t>
  </si>
  <si>
    <t>210810_A00902_B_L002_APMG-38-2_conf0.8_paired.kraken.report</t>
  </si>
  <si>
    <t>210810_A00902_B_L002_APMG-38-3_conf0.8_merged.kraken.report</t>
  </si>
  <si>
    <t>210810_A00902_B_L002_APMG-38-3_conf0.8_paired.kraken.report</t>
  </si>
  <si>
    <t>210810_A00902_B_L002_APMG-38-4_conf0.8_merged.kraken.report</t>
  </si>
  <si>
    <t>210810_A00902_B_L002_APMG-38-4_conf0.8_paired.kraken.report</t>
  </si>
  <si>
    <t>210810_A00902_B_L002_APMG-38-5_conf0.8_merged.kraken.report</t>
  </si>
  <si>
    <t>210810_A00902_B_L002_APMG-38-5_conf0.8_paired.kraken.report</t>
  </si>
  <si>
    <t>210810_A00902_B_L002_APMG-38-6_conf0.8_merged.kraken.report</t>
  </si>
  <si>
    <t>210810_A00902_B_L002_APMG-38-6_conf0.8_paired.kraken.report</t>
  </si>
  <si>
    <t>210810_A00902_B_L002_APMG-38-7_conf0.8_merged.kraken.report</t>
  </si>
  <si>
    <t>210810_A00902_B_L002_APMG-38-7_conf0.8_paired.kraken.report</t>
  </si>
  <si>
    <t>210810_A00902_B_L002_APMG-38-8_conf0.8_merged.kraken.report</t>
  </si>
  <si>
    <t>210810_A00902_B_L002_APMG-38-8_conf0.8_paired.kraken.report</t>
  </si>
  <si>
    <t>210810_A00902_B_L002_APMG-38-9_conf0.8_merged.kraken.report</t>
  </si>
  <si>
    <t>210810_A00902_B_L002_APMG-38-9_conf0.8_paired.kraken.report</t>
  </si>
  <si>
    <t>JK120L-5</t>
  </si>
  <si>
    <t>JK120L</t>
  </si>
  <si>
    <t>ELS114</t>
  </si>
  <si>
    <t>JK120L-6</t>
  </si>
  <si>
    <t>ELS115</t>
  </si>
  <si>
    <t>JK120L-8</t>
  </si>
  <si>
    <t>BH195L-5</t>
  </si>
  <si>
    <t>EBH020_EB</t>
  </si>
  <si>
    <t>BH193L-1</t>
  </si>
  <si>
    <t>EBH001</t>
  </si>
  <si>
    <t>BH193L-4</t>
  </si>
  <si>
    <t>EBH004</t>
  </si>
  <si>
    <t>BH193L-5</t>
  </si>
  <si>
    <t>EBH005</t>
  </si>
  <si>
    <t>BH193L-7</t>
  </si>
  <si>
    <t>EBH007</t>
  </si>
  <si>
    <t>JK120L-1</t>
  </si>
  <si>
    <t>ELS110</t>
  </si>
  <si>
    <t>JK120L-2</t>
  </si>
  <si>
    <t>ELS111</t>
  </si>
  <si>
    <t>JK120L-3</t>
  </si>
  <si>
    <t>ELS112</t>
  </si>
  <si>
    <t>JK120L-4</t>
  </si>
  <si>
    <t>ELS113</t>
  </si>
  <si>
    <t>JK109L-6</t>
  </si>
  <si>
    <t>ELS125</t>
  </si>
  <si>
    <t>ELS119/ELS129_EB</t>
  </si>
  <si>
    <t>JK121L-8</t>
  </si>
  <si>
    <t>JK121L</t>
  </si>
  <si>
    <t>JK120L-7</t>
  </si>
  <si>
    <t>ELS116</t>
  </si>
  <si>
    <t>BH194L-3</t>
  </si>
  <si>
    <t>EBH011</t>
  </si>
  <si>
    <t>BH194L-6</t>
  </si>
  <si>
    <t>EBH014</t>
  </si>
  <si>
    <t>BH195L-1</t>
  </si>
  <si>
    <t>EBH016</t>
  </si>
  <si>
    <t>BH195L-3</t>
  </si>
  <si>
    <t>EBH018</t>
  </si>
  <si>
    <t>BH195L-4</t>
  </si>
  <si>
    <t>EBH019</t>
  </si>
  <si>
    <t>BH195L-6</t>
  </si>
  <si>
    <t>EBH010_EB</t>
  </si>
  <si>
    <t>JK121L-1</t>
  </si>
  <si>
    <t>ELS118</t>
  </si>
  <si>
    <t>JK115L-3</t>
  </si>
  <si>
    <t>ELS120</t>
  </si>
  <si>
    <t>JK109L-5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</si>
</sst>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1"/>
      <color theme="1"/>
      <name val="Calibri"/>
      <family val="2"/>
      <charset val="1"/>
      <scheme val="minor"/>
    </font>
    <font>
      <sz val="10"/>
      <name val="Verdana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>
      <alignment vertical="center"/>
    </xf>
    <xf numFmtId="0" fontId="1" fillId="0" borderId="0"/>
    <xf numFmtId="0" fontId="2" fillId="0" borderId="0"/>
    <xf numFmtId="0" fontId="4" fillId="0" borderId="0"/>
    <xf numFmtId="0" fontId="4" fillId="0" borderId="0"/>
    <xf numFmtId="0" fontId="5" fillId="0" borderId="0"/>
  </cellStyleXfs>
  <cellXfs count="20">
    <xf numFmtId="0" fontId="0" fillId="0" borderId="0" xfId="0"/>
    <xf numFmtId="0" fontId="0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7" fillId="0" borderId="0" xfId="4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 wrapText="1"/>
    </xf>
    <xf numFmtId="0" fontId="7" fillId="0" borderId="0" xfId="4" applyFont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2" fontId="0" fillId="0" borderId="0" xfId="0" applyNumberFormat="1" applyFont="1" applyFill="1"/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2" fontId="0" fillId="0" borderId="0" xfId="0" applyNumberFormat="1" applyFont="1" applyFill="1" applyBorder="1"/>
  </cellXfs>
  <cellStyles count="7">
    <cellStyle name="Normal 2" xfId="4" xr:uid="{E37D8804-B4F9-4227-8EF8-B62AEAEC7804}"/>
    <cellStyle name="Normal 2 2" xfId="6" xr:uid="{0207771D-83BD-4C9B-94B0-FCD4561B3AB3}"/>
    <cellStyle name="Normal 3" xfId="5" xr:uid="{546BCE88-C636-48E6-94C4-6BB8003472C9}"/>
    <cellStyle name="Standard" xfId="0" builtinId="0"/>
    <cellStyle name="Standard 2" xfId="3" xr:uid="{A4266920-0959-45EC-BF0F-0F7F8ACF68E8}"/>
    <cellStyle name="Standard 3" xfId="1" xr:uid="{675C0F14-5C69-43E9-B919-440F90B09215}"/>
    <cellStyle name="Standard 3 3" xfId="2" xr:uid="{74F19BDC-80EC-4B65-95C0-293EB3E71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4C10-E237-B44C-AB2E-0FCFB39789BC}">
  <dimension ref="A1:N136"/>
  <sheetViews>
    <sheetView tabSelected="1" workbookViewId="0">
      <selection activeCell="F62" sqref="F62"/>
    </sheetView>
  </sheetViews>
  <sheetFormatPr baseColWidth="10" defaultColWidth="10.796875" defaultRowHeight="15.6"/>
  <cols>
    <col min="1" max="1" width="60.296875" style="4" customWidth="1"/>
    <col min="2" max="2" width="12.19921875" style="5" bestFit="1" customWidth="1"/>
    <col min="3" max="3" width="5.296875" style="5" bestFit="1" customWidth="1"/>
    <col min="4" max="4" width="7.19921875" style="5" bestFit="1" customWidth="1"/>
    <col min="5" max="6" width="10.796875" style="15"/>
    <col min="7" max="8" width="10.796875" style="13"/>
    <col min="9" max="9" width="11.796875" style="13" customWidth="1"/>
    <col min="10" max="10" width="10.796875" style="5"/>
    <col min="11" max="11" width="56.296875" style="5" customWidth="1"/>
    <col min="12" max="16384" width="10.796875" style="5"/>
  </cols>
  <sheetData>
    <row r="1" spans="1:14">
      <c r="A1" s="3" t="s">
        <v>7</v>
      </c>
      <c r="B1" s="3" t="s">
        <v>2</v>
      </c>
      <c r="C1" s="3" t="s">
        <v>11</v>
      </c>
      <c r="D1" s="3" t="s">
        <v>12</v>
      </c>
      <c r="E1" s="14" t="s">
        <v>4</v>
      </c>
      <c r="F1" s="14" t="s">
        <v>3</v>
      </c>
      <c r="G1" s="12" t="s">
        <v>5</v>
      </c>
      <c r="H1" s="1" t="s">
        <v>13</v>
      </c>
      <c r="I1" s="2" t="s">
        <v>14</v>
      </c>
      <c r="J1" s="3" t="s">
        <v>9</v>
      </c>
      <c r="K1" s="4" t="s">
        <v>10</v>
      </c>
    </row>
    <row r="2" spans="1:14">
      <c r="A2" s="5" t="s">
        <v>31</v>
      </c>
      <c r="B2" s="3" t="s">
        <v>0</v>
      </c>
      <c r="C2" s="3" t="s">
        <v>17</v>
      </c>
      <c r="D2" s="3" t="s">
        <v>18</v>
      </c>
      <c r="E2" s="17">
        <v>1195.5</v>
      </c>
      <c r="F2" s="13">
        <v>18716</v>
      </c>
      <c r="G2" s="1" t="s">
        <v>91</v>
      </c>
      <c r="H2" s="13" t="s">
        <v>92</v>
      </c>
      <c r="I2" s="18" t="s">
        <v>93</v>
      </c>
      <c r="J2" s="3" t="s">
        <v>15</v>
      </c>
      <c r="K2" s="1" t="str">
        <f t="shared" ref="K2:K33" si="0">CONCATENATE(G2,"_",H2,"_",I2,"_",D2,"_",E2,"_",F2,"_",J2)</f>
        <v>JK120L-5_JK120L_ELS114_PG1341_1195,5_18716_sample</v>
      </c>
      <c r="M2" s="6"/>
      <c r="N2" s="7"/>
    </row>
    <row r="3" spans="1:14">
      <c r="A3" s="5" t="s">
        <v>32</v>
      </c>
      <c r="B3" s="3" t="s">
        <v>8</v>
      </c>
      <c r="C3" s="3" t="s">
        <v>17</v>
      </c>
      <c r="D3" s="3" t="s">
        <v>18</v>
      </c>
      <c r="E3" s="17">
        <v>1195.5</v>
      </c>
      <c r="F3" s="13">
        <v>18716</v>
      </c>
      <c r="G3" s="1" t="s">
        <v>91</v>
      </c>
      <c r="H3" s="13" t="s">
        <v>92</v>
      </c>
      <c r="I3" s="18" t="s">
        <v>93</v>
      </c>
      <c r="J3" s="3" t="s">
        <v>15</v>
      </c>
      <c r="K3" s="1" t="str">
        <f t="shared" si="0"/>
        <v>JK120L-5_JK120L_ELS114_PG1341_1195,5_18716_sample</v>
      </c>
      <c r="M3" s="6"/>
      <c r="N3" s="7"/>
    </row>
    <row r="4" spans="1:14">
      <c r="A4" s="5" t="s">
        <v>33</v>
      </c>
      <c r="B4" s="3" t="s">
        <v>0</v>
      </c>
      <c r="C4" s="3" t="s">
        <v>17</v>
      </c>
      <c r="D4" s="3" t="s">
        <v>18</v>
      </c>
      <c r="E4" s="17">
        <v>1075.5</v>
      </c>
      <c r="F4" s="13">
        <v>17948</v>
      </c>
      <c r="G4" s="1" t="s">
        <v>94</v>
      </c>
      <c r="H4" s="13" t="s">
        <v>92</v>
      </c>
      <c r="I4" s="18" t="s">
        <v>95</v>
      </c>
      <c r="J4" s="3" t="s">
        <v>15</v>
      </c>
      <c r="K4" s="1" t="str">
        <f t="shared" si="0"/>
        <v>JK120L-6_JK120L_ELS115_PG1341_1075,5_17948_sample</v>
      </c>
      <c r="M4" s="6"/>
      <c r="N4" s="7"/>
    </row>
    <row r="5" spans="1:14">
      <c r="A5" s="5" t="s">
        <v>34</v>
      </c>
      <c r="B5" s="3" t="s">
        <v>8</v>
      </c>
      <c r="C5" s="3" t="s">
        <v>17</v>
      </c>
      <c r="D5" s="3" t="s">
        <v>18</v>
      </c>
      <c r="E5" s="17">
        <v>1075.5</v>
      </c>
      <c r="F5" s="13">
        <v>17948</v>
      </c>
      <c r="G5" s="1" t="s">
        <v>94</v>
      </c>
      <c r="H5" s="13" t="s">
        <v>92</v>
      </c>
      <c r="I5" s="18" t="s">
        <v>95</v>
      </c>
      <c r="J5" s="3" t="s">
        <v>15</v>
      </c>
      <c r="K5" s="1" t="str">
        <f t="shared" si="0"/>
        <v>JK120L-6_JK120L_ELS115_PG1341_1075,5_17948_sample</v>
      </c>
      <c r="M5" s="6"/>
      <c r="N5" s="7"/>
    </row>
    <row r="6" spans="1:14">
      <c r="A6" s="5" t="s">
        <v>35</v>
      </c>
      <c r="B6" s="3" t="s">
        <v>0</v>
      </c>
      <c r="C6" s="3" t="s">
        <v>17</v>
      </c>
      <c r="D6" s="3" t="s">
        <v>18</v>
      </c>
      <c r="E6" s="19" t="s">
        <v>6</v>
      </c>
      <c r="F6" s="19" t="s">
        <v>6</v>
      </c>
      <c r="G6" s="1" t="s">
        <v>96</v>
      </c>
      <c r="H6" s="13" t="s">
        <v>92</v>
      </c>
      <c r="I6" s="18" t="s">
        <v>1</v>
      </c>
      <c r="J6" s="3" t="s">
        <v>16</v>
      </c>
      <c r="K6" s="1" t="str">
        <f t="shared" si="0"/>
        <v>JK120L-8_JK120L_LB_PG1341_NA_NA_blank</v>
      </c>
      <c r="M6" s="6"/>
      <c r="N6" s="7"/>
    </row>
    <row r="7" spans="1:14">
      <c r="A7" s="5" t="s">
        <v>36</v>
      </c>
      <c r="B7" s="3" t="s">
        <v>8</v>
      </c>
      <c r="C7" s="3" t="s">
        <v>17</v>
      </c>
      <c r="D7" s="3" t="s">
        <v>18</v>
      </c>
      <c r="E7" s="19" t="s">
        <v>6</v>
      </c>
      <c r="F7" s="19" t="s">
        <v>6</v>
      </c>
      <c r="G7" s="1" t="s">
        <v>96</v>
      </c>
      <c r="H7" s="13" t="s">
        <v>92</v>
      </c>
      <c r="I7" s="18" t="s">
        <v>1</v>
      </c>
      <c r="J7" s="3" t="s">
        <v>16</v>
      </c>
      <c r="K7" s="1" t="str">
        <f t="shared" si="0"/>
        <v>JK120L-8_JK120L_LB_PG1341_NA_NA_blank</v>
      </c>
      <c r="M7" s="6"/>
      <c r="N7" s="7"/>
    </row>
    <row r="8" spans="1:14">
      <c r="A8" s="5" t="s">
        <v>37</v>
      </c>
      <c r="B8" s="3" t="s">
        <v>0</v>
      </c>
      <c r="C8" s="3" t="s">
        <v>17</v>
      </c>
      <c r="D8" s="3" t="s">
        <v>18</v>
      </c>
      <c r="E8" s="19" t="s">
        <v>6</v>
      </c>
      <c r="F8" s="19" t="s">
        <v>6</v>
      </c>
      <c r="G8" s="1" t="s">
        <v>21</v>
      </c>
      <c r="H8" s="13" t="s">
        <v>27</v>
      </c>
      <c r="I8" s="18" t="s">
        <v>1</v>
      </c>
      <c r="J8" s="3" t="s">
        <v>16</v>
      </c>
      <c r="K8" s="1" t="str">
        <f t="shared" si="0"/>
        <v>BH195L-7_BH195L_LB_PG1341_NA_NA_blank</v>
      </c>
      <c r="M8" s="6"/>
      <c r="N8" s="7"/>
    </row>
    <row r="9" spans="1:14">
      <c r="A9" s="5" t="s">
        <v>38</v>
      </c>
      <c r="B9" s="3" t="s">
        <v>8</v>
      </c>
      <c r="C9" s="3" t="s">
        <v>17</v>
      </c>
      <c r="D9" s="3" t="s">
        <v>18</v>
      </c>
      <c r="E9" s="19" t="s">
        <v>6</v>
      </c>
      <c r="F9" s="19" t="s">
        <v>6</v>
      </c>
      <c r="G9" s="1" t="s">
        <v>21</v>
      </c>
      <c r="H9" s="13" t="s">
        <v>27</v>
      </c>
      <c r="I9" s="18" t="s">
        <v>1</v>
      </c>
      <c r="J9" s="3" t="s">
        <v>16</v>
      </c>
      <c r="K9" s="1" t="str">
        <f t="shared" si="0"/>
        <v>BH195L-7_BH195L_LB_PG1341_NA_NA_blank</v>
      </c>
      <c r="M9" s="6"/>
      <c r="N9" s="8"/>
    </row>
    <row r="10" spans="1:14">
      <c r="A10" s="5" t="s">
        <v>39</v>
      </c>
      <c r="B10" s="3" t="s">
        <v>0</v>
      </c>
      <c r="C10" s="3" t="s">
        <v>17</v>
      </c>
      <c r="D10" s="3" t="s">
        <v>18</v>
      </c>
      <c r="E10" s="14" t="s">
        <v>6</v>
      </c>
      <c r="F10" s="14" t="s">
        <v>6</v>
      </c>
      <c r="G10" s="1" t="s">
        <v>20</v>
      </c>
      <c r="H10" s="13" t="s">
        <v>26</v>
      </c>
      <c r="I10" s="18" t="s">
        <v>1</v>
      </c>
      <c r="J10" s="3" t="s">
        <v>16</v>
      </c>
      <c r="K10" s="1" t="str">
        <f t="shared" si="0"/>
        <v>BH194L-8_BH194L_LB_PG1341_NA_NA_blank</v>
      </c>
      <c r="M10" s="9"/>
      <c r="N10" s="10"/>
    </row>
    <row r="11" spans="1:14">
      <c r="A11" s="5" t="s">
        <v>40</v>
      </c>
      <c r="B11" s="3" t="s">
        <v>8</v>
      </c>
      <c r="C11" s="3" t="s">
        <v>17</v>
      </c>
      <c r="D11" s="3" t="s">
        <v>18</v>
      </c>
      <c r="E11" s="14" t="s">
        <v>6</v>
      </c>
      <c r="F11" s="14" t="s">
        <v>6</v>
      </c>
      <c r="G11" s="1" t="s">
        <v>20</v>
      </c>
      <c r="H11" s="13" t="s">
        <v>26</v>
      </c>
      <c r="I11" s="18" t="s">
        <v>1</v>
      </c>
      <c r="J11" s="3" t="s">
        <v>16</v>
      </c>
      <c r="K11" s="1" t="str">
        <f t="shared" si="0"/>
        <v>BH194L-8_BH194L_LB_PG1341_NA_NA_blank</v>
      </c>
      <c r="M11" s="9"/>
      <c r="N11" s="10"/>
    </row>
    <row r="12" spans="1:14">
      <c r="A12" s="5" t="s">
        <v>41</v>
      </c>
      <c r="B12" s="3" t="s">
        <v>0</v>
      </c>
      <c r="C12" s="3" t="s">
        <v>17</v>
      </c>
      <c r="D12" s="3" t="s">
        <v>18</v>
      </c>
      <c r="E12" s="14" t="s">
        <v>6</v>
      </c>
      <c r="F12" s="14" t="s">
        <v>6</v>
      </c>
      <c r="G12" s="1" t="s">
        <v>97</v>
      </c>
      <c r="H12" s="13" t="s">
        <v>27</v>
      </c>
      <c r="I12" s="18" t="s">
        <v>98</v>
      </c>
      <c r="J12" s="3" t="s">
        <v>16</v>
      </c>
      <c r="K12" s="1" t="str">
        <f t="shared" si="0"/>
        <v>BH195L-5_BH195L_EBH020_EB_PG1341_NA_NA_blank</v>
      </c>
      <c r="M12" s="9"/>
      <c r="N12" s="10"/>
    </row>
    <row r="13" spans="1:14">
      <c r="A13" s="5" t="s">
        <v>42</v>
      </c>
      <c r="B13" s="3" t="s">
        <v>8</v>
      </c>
      <c r="C13" s="3" t="s">
        <v>17</v>
      </c>
      <c r="D13" s="3" t="s">
        <v>18</v>
      </c>
      <c r="E13" s="19" t="s">
        <v>6</v>
      </c>
      <c r="F13" s="19" t="s">
        <v>6</v>
      </c>
      <c r="G13" s="1" t="s">
        <v>97</v>
      </c>
      <c r="H13" s="13" t="s">
        <v>27</v>
      </c>
      <c r="I13" s="18" t="s">
        <v>98</v>
      </c>
      <c r="J13" s="3" t="s">
        <v>16</v>
      </c>
      <c r="K13" s="1" t="str">
        <f t="shared" si="0"/>
        <v>BH195L-5_BH195L_EBH020_EB_PG1341_NA_NA_blank</v>
      </c>
      <c r="M13" s="9"/>
      <c r="N13" s="10"/>
    </row>
    <row r="14" spans="1:14">
      <c r="A14" s="5" t="s">
        <v>43</v>
      </c>
      <c r="B14" s="3" t="s">
        <v>0</v>
      </c>
      <c r="C14" s="3" t="s">
        <v>17</v>
      </c>
      <c r="D14" s="3" t="s">
        <v>18</v>
      </c>
      <c r="E14" s="13">
        <v>225.5</v>
      </c>
      <c r="F14" s="13">
        <v>6379</v>
      </c>
      <c r="G14" s="1" t="s">
        <v>99</v>
      </c>
      <c r="H14" s="13" t="s">
        <v>25</v>
      </c>
      <c r="I14" s="18" t="s">
        <v>100</v>
      </c>
      <c r="J14" s="3" t="s">
        <v>15</v>
      </c>
      <c r="K14" s="1" t="str">
        <f t="shared" si="0"/>
        <v>BH193L-1_BH193L_EBH001_PG1341_225,5_6379_sample</v>
      </c>
      <c r="M14" s="6"/>
      <c r="N14" s="10"/>
    </row>
    <row r="15" spans="1:14">
      <c r="A15" s="5" t="s">
        <v>44</v>
      </c>
      <c r="B15" s="3" t="s">
        <v>8</v>
      </c>
      <c r="C15" s="3" t="s">
        <v>17</v>
      </c>
      <c r="D15" s="3" t="s">
        <v>18</v>
      </c>
      <c r="E15" s="13">
        <v>225.5</v>
      </c>
      <c r="F15" s="13">
        <v>6379</v>
      </c>
      <c r="G15" s="1" t="s">
        <v>99</v>
      </c>
      <c r="H15" s="13" t="s">
        <v>25</v>
      </c>
      <c r="I15" s="18" t="s">
        <v>100</v>
      </c>
      <c r="J15" s="3" t="s">
        <v>15</v>
      </c>
      <c r="K15" s="1" t="str">
        <f t="shared" si="0"/>
        <v>BH193L-1_BH193L_EBH001_PG1341_225,5_6379_sample</v>
      </c>
      <c r="M15" s="6"/>
      <c r="N15" s="10"/>
    </row>
    <row r="16" spans="1:14">
      <c r="A16" s="5" t="s">
        <v>45</v>
      </c>
      <c r="B16" s="3" t="s">
        <v>0</v>
      </c>
      <c r="C16" s="3" t="s">
        <v>17</v>
      </c>
      <c r="D16" s="3" t="s">
        <v>18</v>
      </c>
      <c r="E16" s="13">
        <v>336.5</v>
      </c>
      <c r="F16" s="13">
        <v>9157</v>
      </c>
      <c r="G16" s="1" t="s">
        <v>101</v>
      </c>
      <c r="H16" s="13" t="s">
        <v>25</v>
      </c>
      <c r="I16" s="18" t="s">
        <v>102</v>
      </c>
      <c r="J16" s="3" t="s">
        <v>15</v>
      </c>
      <c r="K16" s="1" t="str">
        <f t="shared" si="0"/>
        <v>BH193L-4_BH193L_EBH004_PG1341_336,5_9157_sample</v>
      </c>
      <c r="M16" s="6"/>
      <c r="N16" s="11"/>
    </row>
    <row r="17" spans="1:14">
      <c r="A17" s="5" t="s">
        <v>46</v>
      </c>
      <c r="B17" s="3" t="s">
        <v>8</v>
      </c>
      <c r="C17" s="3" t="s">
        <v>17</v>
      </c>
      <c r="D17" s="3" t="s">
        <v>18</v>
      </c>
      <c r="E17" s="13">
        <v>336.5</v>
      </c>
      <c r="F17" s="13">
        <v>9157</v>
      </c>
      <c r="G17" s="1" t="s">
        <v>101</v>
      </c>
      <c r="H17" s="13" t="s">
        <v>25</v>
      </c>
      <c r="I17" s="18" t="s">
        <v>102</v>
      </c>
      <c r="J17" s="3" t="s">
        <v>15</v>
      </c>
      <c r="K17" s="1" t="str">
        <f t="shared" si="0"/>
        <v>BH193L-4_BH193L_EBH004_PG1341_336,5_9157_sample</v>
      </c>
      <c r="M17" s="6"/>
      <c r="N17" s="8"/>
    </row>
    <row r="18" spans="1:14">
      <c r="A18" s="5" t="s">
        <v>47</v>
      </c>
      <c r="B18" s="3" t="s">
        <v>0</v>
      </c>
      <c r="C18" s="3" t="s">
        <v>17</v>
      </c>
      <c r="D18" s="3" t="s">
        <v>18</v>
      </c>
      <c r="E18" s="13">
        <v>418.5</v>
      </c>
      <c r="F18" s="13">
        <v>11508</v>
      </c>
      <c r="G18" s="1" t="s">
        <v>103</v>
      </c>
      <c r="H18" s="13" t="s">
        <v>25</v>
      </c>
      <c r="I18" s="18" t="s">
        <v>104</v>
      </c>
      <c r="J18" s="3" t="s">
        <v>15</v>
      </c>
      <c r="K18" s="1" t="str">
        <f t="shared" si="0"/>
        <v>BH193L-5_BH193L_EBH005_PG1341_418,5_11508_sample</v>
      </c>
      <c r="M18" s="6"/>
      <c r="N18" s="10"/>
    </row>
    <row r="19" spans="1:14">
      <c r="A19" s="5" t="s">
        <v>48</v>
      </c>
      <c r="B19" s="3" t="s">
        <v>8</v>
      </c>
      <c r="C19" s="3" t="s">
        <v>17</v>
      </c>
      <c r="D19" s="3" t="s">
        <v>18</v>
      </c>
      <c r="E19" s="13">
        <v>418.5</v>
      </c>
      <c r="F19" s="13">
        <v>11508</v>
      </c>
      <c r="G19" s="1" t="s">
        <v>103</v>
      </c>
      <c r="H19" s="13" t="s">
        <v>25</v>
      </c>
      <c r="I19" s="18" t="s">
        <v>104</v>
      </c>
      <c r="J19" s="3" t="s">
        <v>15</v>
      </c>
      <c r="K19" s="1" t="str">
        <f t="shared" si="0"/>
        <v>BH193L-5_BH193L_EBH005_PG1341_418,5_11508_sample</v>
      </c>
      <c r="M19" s="6"/>
      <c r="N19" s="10"/>
    </row>
    <row r="20" spans="1:14">
      <c r="A20" s="5" t="s">
        <v>49</v>
      </c>
      <c r="B20" s="3" t="s">
        <v>0</v>
      </c>
      <c r="C20" s="3" t="s">
        <v>17</v>
      </c>
      <c r="D20" s="3" t="s">
        <v>18</v>
      </c>
      <c r="E20" s="13">
        <v>484.5</v>
      </c>
      <c r="F20" s="13">
        <v>13743</v>
      </c>
      <c r="G20" s="1" t="s">
        <v>105</v>
      </c>
      <c r="H20" s="13" t="s">
        <v>25</v>
      </c>
      <c r="I20" s="18" t="s">
        <v>106</v>
      </c>
      <c r="J20" s="3" t="s">
        <v>15</v>
      </c>
      <c r="K20" s="1" t="str">
        <f t="shared" si="0"/>
        <v>BH193L-7_BH193L_EBH007_PG1341_484,5_13743_sample</v>
      </c>
      <c r="M20" s="6"/>
      <c r="N20" s="10"/>
    </row>
    <row r="21" spans="1:14">
      <c r="A21" s="5" t="s">
        <v>50</v>
      </c>
      <c r="B21" s="3" t="s">
        <v>8</v>
      </c>
      <c r="C21" s="3" t="s">
        <v>17</v>
      </c>
      <c r="D21" s="3" t="s">
        <v>18</v>
      </c>
      <c r="E21" s="13">
        <v>484.5</v>
      </c>
      <c r="F21" s="13">
        <v>13743</v>
      </c>
      <c r="G21" s="1" t="s">
        <v>105</v>
      </c>
      <c r="H21" s="13" t="s">
        <v>25</v>
      </c>
      <c r="I21" s="18" t="s">
        <v>106</v>
      </c>
      <c r="J21" s="3" t="s">
        <v>15</v>
      </c>
      <c r="K21" s="1" t="str">
        <f t="shared" si="0"/>
        <v>BH193L-7_BH193L_EBH007_PG1341_484,5_13743_sample</v>
      </c>
      <c r="M21" s="6"/>
      <c r="N21" s="10"/>
    </row>
    <row r="22" spans="1:14">
      <c r="A22" s="5" t="s">
        <v>51</v>
      </c>
      <c r="B22" s="3" t="s">
        <v>0</v>
      </c>
      <c r="C22" s="3" t="s">
        <v>17</v>
      </c>
      <c r="D22" s="3" t="s">
        <v>18</v>
      </c>
      <c r="E22" s="19" t="s">
        <v>6</v>
      </c>
      <c r="F22" s="19" t="s">
        <v>6</v>
      </c>
      <c r="G22" s="1" t="s">
        <v>19</v>
      </c>
      <c r="H22" s="13" t="s">
        <v>25</v>
      </c>
      <c r="I22" s="1" t="s">
        <v>1</v>
      </c>
      <c r="J22" s="3" t="s">
        <v>16</v>
      </c>
      <c r="K22" s="1" t="str">
        <f t="shared" si="0"/>
        <v>BH193L-8_BH193L_LB_PG1341_NA_NA_blank</v>
      </c>
      <c r="M22" s="6"/>
      <c r="N22" s="10"/>
    </row>
    <row r="23" spans="1:14">
      <c r="A23" s="5" t="s">
        <v>52</v>
      </c>
      <c r="B23" s="3" t="s">
        <v>8</v>
      </c>
      <c r="C23" s="3" t="s">
        <v>17</v>
      </c>
      <c r="D23" s="3" t="s">
        <v>18</v>
      </c>
      <c r="E23" s="19" t="s">
        <v>6</v>
      </c>
      <c r="F23" s="19" t="s">
        <v>6</v>
      </c>
      <c r="G23" s="1" t="s">
        <v>19</v>
      </c>
      <c r="H23" s="13" t="s">
        <v>25</v>
      </c>
      <c r="I23" s="1" t="s">
        <v>1</v>
      </c>
      <c r="J23" s="3" t="s">
        <v>16</v>
      </c>
      <c r="K23" s="1" t="str">
        <f t="shared" si="0"/>
        <v>BH193L-8_BH193L_LB_PG1341_NA_NA_blank</v>
      </c>
      <c r="M23" s="6"/>
      <c r="N23" s="10"/>
    </row>
    <row r="24" spans="1:14">
      <c r="A24" s="5" t="s">
        <v>53</v>
      </c>
      <c r="B24" s="3" t="s">
        <v>0</v>
      </c>
      <c r="C24" s="3" t="s">
        <v>17</v>
      </c>
      <c r="D24" s="3" t="s">
        <v>18</v>
      </c>
      <c r="E24" s="17">
        <v>1675.5</v>
      </c>
      <c r="F24" s="13">
        <v>22974</v>
      </c>
      <c r="G24" s="1" t="s">
        <v>107</v>
      </c>
      <c r="H24" s="13" t="s">
        <v>92</v>
      </c>
      <c r="I24" s="18" t="s">
        <v>108</v>
      </c>
      <c r="J24" s="3" t="s">
        <v>15</v>
      </c>
      <c r="K24" s="1" t="str">
        <f t="shared" si="0"/>
        <v>JK120L-1_JK120L_ELS110_PG1341_1675,5_22974_sample</v>
      </c>
      <c r="M24" s="6"/>
      <c r="N24" s="10"/>
    </row>
    <row r="25" spans="1:14">
      <c r="A25" s="5" t="s">
        <v>54</v>
      </c>
      <c r="B25" s="3" t="s">
        <v>8</v>
      </c>
      <c r="C25" s="3" t="s">
        <v>17</v>
      </c>
      <c r="D25" s="3" t="s">
        <v>18</v>
      </c>
      <c r="E25" s="17">
        <v>1675.5</v>
      </c>
      <c r="F25" s="13">
        <v>22974</v>
      </c>
      <c r="G25" s="1" t="s">
        <v>107</v>
      </c>
      <c r="H25" s="13" t="s">
        <v>92</v>
      </c>
      <c r="I25" s="18" t="s">
        <v>108</v>
      </c>
      <c r="J25" s="3" t="s">
        <v>15</v>
      </c>
      <c r="K25" s="1" t="str">
        <f t="shared" si="0"/>
        <v>JK120L-1_JK120L_ELS110_PG1341_1675,5_22974_sample</v>
      </c>
      <c r="M25" s="6"/>
      <c r="N25" s="8"/>
    </row>
    <row r="26" spans="1:14">
      <c r="A26" s="5" t="s">
        <v>55</v>
      </c>
      <c r="B26" s="3" t="s">
        <v>0</v>
      </c>
      <c r="C26" s="3" t="s">
        <v>17</v>
      </c>
      <c r="D26" s="3" t="s">
        <v>18</v>
      </c>
      <c r="E26" s="17">
        <v>1555.5</v>
      </c>
      <c r="F26" s="13">
        <v>21740</v>
      </c>
      <c r="G26" s="1" t="s">
        <v>109</v>
      </c>
      <c r="H26" s="13" t="s">
        <v>92</v>
      </c>
      <c r="I26" s="18" t="s">
        <v>110</v>
      </c>
      <c r="J26" s="3" t="s">
        <v>15</v>
      </c>
      <c r="K26" s="1" t="str">
        <f t="shared" si="0"/>
        <v>JK120L-2_JK120L_ELS111_PG1341_1555,5_21740_sample</v>
      </c>
      <c r="M26" s="6"/>
      <c r="N26" s="10"/>
    </row>
    <row r="27" spans="1:14">
      <c r="A27" s="5" t="s">
        <v>56</v>
      </c>
      <c r="B27" s="3" t="s">
        <v>8</v>
      </c>
      <c r="C27" s="3" t="s">
        <v>17</v>
      </c>
      <c r="D27" s="3" t="s">
        <v>18</v>
      </c>
      <c r="E27" s="17">
        <v>1555.5</v>
      </c>
      <c r="F27" s="13">
        <v>21740</v>
      </c>
      <c r="G27" s="1" t="s">
        <v>109</v>
      </c>
      <c r="H27" s="13" t="s">
        <v>92</v>
      </c>
      <c r="I27" s="18" t="s">
        <v>110</v>
      </c>
      <c r="J27" s="3" t="s">
        <v>15</v>
      </c>
      <c r="K27" s="1" t="str">
        <f t="shared" si="0"/>
        <v>JK120L-2_JK120L_ELS111_PG1341_1555,5_21740_sample</v>
      </c>
      <c r="M27" s="6"/>
      <c r="N27" s="10"/>
    </row>
    <row r="28" spans="1:14">
      <c r="A28" s="5" t="s">
        <v>57</v>
      </c>
      <c r="B28" s="3" t="s">
        <v>0</v>
      </c>
      <c r="C28" s="3" t="s">
        <v>17</v>
      </c>
      <c r="D28" s="3" t="s">
        <v>18</v>
      </c>
      <c r="E28" s="17">
        <v>1435.5</v>
      </c>
      <c r="F28" s="13">
        <v>20620</v>
      </c>
      <c r="G28" s="1" t="s">
        <v>111</v>
      </c>
      <c r="H28" s="13" t="s">
        <v>92</v>
      </c>
      <c r="I28" s="18" t="s">
        <v>112</v>
      </c>
      <c r="J28" s="3" t="s">
        <v>15</v>
      </c>
      <c r="K28" s="1" t="str">
        <f t="shared" si="0"/>
        <v>JK120L-3_JK120L_ELS112_PG1341_1435,5_20620_sample</v>
      </c>
      <c r="M28" s="6"/>
      <c r="N28" s="10"/>
    </row>
    <row r="29" spans="1:14">
      <c r="A29" s="5" t="s">
        <v>58</v>
      </c>
      <c r="B29" s="3" t="s">
        <v>8</v>
      </c>
      <c r="C29" s="3" t="s">
        <v>17</v>
      </c>
      <c r="D29" s="3" t="s">
        <v>18</v>
      </c>
      <c r="E29" s="17">
        <v>1435.5</v>
      </c>
      <c r="F29" s="13">
        <v>20620</v>
      </c>
      <c r="G29" s="1" t="s">
        <v>111</v>
      </c>
      <c r="H29" s="13" t="s">
        <v>92</v>
      </c>
      <c r="I29" s="18" t="s">
        <v>112</v>
      </c>
      <c r="J29" s="3" t="s">
        <v>15</v>
      </c>
      <c r="K29" s="1" t="str">
        <f t="shared" si="0"/>
        <v>JK120L-3_JK120L_ELS112_PG1341_1435,5_20620_sample</v>
      </c>
      <c r="M29" s="6"/>
      <c r="N29" s="10"/>
    </row>
    <row r="30" spans="1:14">
      <c r="A30" s="5" t="s">
        <v>59</v>
      </c>
      <c r="B30" s="3" t="s">
        <v>0</v>
      </c>
      <c r="C30" s="3" t="s">
        <v>17</v>
      </c>
      <c r="D30" s="3" t="s">
        <v>18</v>
      </c>
      <c r="E30" s="17">
        <v>1315.5</v>
      </c>
      <c r="F30" s="13">
        <v>19590</v>
      </c>
      <c r="G30" s="1" t="s">
        <v>113</v>
      </c>
      <c r="H30" s="13" t="s">
        <v>92</v>
      </c>
      <c r="I30" s="18" t="s">
        <v>114</v>
      </c>
      <c r="J30" s="3" t="s">
        <v>15</v>
      </c>
      <c r="K30" s="1" t="str">
        <f t="shared" si="0"/>
        <v>JK120L-4_JK120L_ELS113_PG1341_1315,5_19590_sample</v>
      </c>
      <c r="M30" s="6"/>
      <c r="N30" s="10"/>
    </row>
    <row r="31" spans="1:14">
      <c r="A31" s="5" t="s">
        <v>60</v>
      </c>
      <c r="B31" s="3" t="s">
        <v>8</v>
      </c>
      <c r="C31" s="3" t="s">
        <v>17</v>
      </c>
      <c r="D31" s="3" t="s">
        <v>18</v>
      </c>
      <c r="E31" s="17">
        <v>1315.5</v>
      </c>
      <c r="F31" s="13">
        <v>19590</v>
      </c>
      <c r="G31" s="1" t="s">
        <v>113</v>
      </c>
      <c r="H31" s="13" t="s">
        <v>92</v>
      </c>
      <c r="I31" s="18" t="s">
        <v>114</v>
      </c>
      <c r="J31" s="3" t="s">
        <v>15</v>
      </c>
      <c r="K31" s="1" t="str">
        <f t="shared" si="0"/>
        <v>JK120L-4_JK120L_ELS113_PG1341_1315,5_19590_sample</v>
      </c>
      <c r="M31" s="6"/>
      <c r="N31" s="10"/>
    </row>
    <row r="32" spans="1:14">
      <c r="A32" s="5" t="s">
        <v>61</v>
      </c>
      <c r="B32" s="3" t="s">
        <v>0</v>
      </c>
      <c r="C32" s="3" t="s">
        <v>17</v>
      </c>
      <c r="D32" s="3" t="s">
        <v>18</v>
      </c>
      <c r="E32" s="13">
        <v>140.5</v>
      </c>
      <c r="F32" s="13">
        <v>3025</v>
      </c>
      <c r="G32" s="1" t="s">
        <v>115</v>
      </c>
      <c r="H32" s="13" t="s">
        <v>28</v>
      </c>
      <c r="I32" s="18" t="s">
        <v>116</v>
      </c>
      <c r="J32" s="3" t="s">
        <v>15</v>
      </c>
      <c r="K32" s="1" t="str">
        <f t="shared" si="0"/>
        <v>JK109L-6_JK109L_ELS125_PG1341_140,5_3025_sample</v>
      </c>
      <c r="M32" s="6"/>
      <c r="N32" s="10"/>
    </row>
    <row r="33" spans="1:14">
      <c r="A33" s="5" t="s">
        <v>62</v>
      </c>
      <c r="B33" s="3" t="s">
        <v>8</v>
      </c>
      <c r="C33" s="3" t="s">
        <v>17</v>
      </c>
      <c r="D33" s="3" t="s">
        <v>18</v>
      </c>
      <c r="E33" s="13">
        <v>140.5</v>
      </c>
      <c r="F33" s="13">
        <v>3025</v>
      </c>
      <c r="G33" s="1" t="s">
        <v>115</v>
      </c>
      <c r="H33" s="13" t="s">
        <v>28</v>
      </c>
      <c r="I33" s="18" t="s">
        <v>116</v>
      </c>
      <c r="J33" s="3" t="s">
        <v>15</v>
      </c>
      <c r="K33" s="1" t="str">
        <f t="shared" si="0"/>
        <v>JK109L-6_JK109L_ELS125_PG1341_140,5_3025_sample</v>
      </c>
      <c r="M33" s="6"/>
      <c r="N33" s="8"/>
    </row>
    <row r="34" spans="1:14">
      <c r="A34" s="5" t="s">
        <v>63</v>
      </c>
      <c r="B34" s="3" t="s">
        <v>0</v>
      </c>
      <c r="C34" s="3" t="s">
        <v>17</v>
      </c>
      <c r="D34" s="3" t="s">
        <v>18</v>
      </c>
      <c r="E34" s="19" t="s">
        <v>6</v>
      </c>
      <c r="F34" s="19" t="s">
        <v>6</v>
      </c>
      <c r="G34" s="1" t="s">
        <v>23</v>
      </c>
      <c r="H34" s="13" t="s">
        <v>29</v>
      </c>
      <c r="I34" s="18" t="s">
        <v>117</v>
      </c>
      <c r="J34" s="3" t="s">
        <v>16</v>
      </c>
      <c r="K34" s="1" t="str">
        <f t="shared" ref="K34:K97" si="1">CONCATENATE(G34,"_",H34,"_",I34,"_",D34,"_",E34,"_",F34,"_",J34)</f>
        <v>JK115L-5_JK115L_ELS119/ELS129_EB_PG1341_NA_NA_blank</v>
      </c>
    </row>
    <row r="35" spans="1:14">
      <c r="A35" s="5" t="s">
        <v>64</v>
      </c>
      <c r="B35" s="3" t="s">
        <v>8</v>
      </c>
      <c r="C35" s="3" t="s">
        <v>17</v>
      </c>
      <c r="D35" s="3" t="s">
        <v>18</v>
      </c>
      <c r="E35" s="19" t="s">
        <v>6</v>
      </c>
      <c r="F35" s="19" t="s">
        <v>6</v>
      </c>
      <c r="G35" s="1" t="s">
        <v>23</v>
      </c>
      <c r="H35" s="13" t="s">
        <v>29</v>
      </c>
      <c r="I35" s="18" t="s">
        <v>117</v>
      </c>
      <c r="J35" s="3" t="s">
        <v>16</v>
      </c>
      <c r="K35" s="1" t="str">
        <f t="shared" si="1"/>
        <v>JK115L-5_JK115L_ELS119/ELS129_EB_PG1341_NA_NA_blank</v>
      </c>
    </row>
    <row r="36" spans="1:14">
      <c r="A36" s="5" t="s">
        <v>65</v>
      </c>
      <c r="B36" s="3" t="s">
        <v>0</v>
      </c>
      <c r="C36" s="3" t="s">
        <v>17</v>
      </c>
      <c r="D36" s="3" t="s">
        <v>18</v>
      </c>
      <c r="E36" s="19" t="s">
        <v>6</v>
      </c>
      <c r="F36" s="19" t="s">
        <v>6</v>
      </c>
      <c r="G36" s="1" t="s">
        <v>118</v>
      </c>
      <c r="H36" s="13" t="s">
        <v>119</v>
      </c>
      <c r="I36" s="18" t="s">
        <v>1</v>
      </c>
      <c r="J36" s="3" t="s">
        <v>16</v>
      </c>
      <c r="K36" s="1" t="str">
        <f t="shared" si="1"/>
        <v>JK121L-8_JK121L_LB_PG1341_NA_NA_blank</v>
      </c>
    </row>
    <row r="37" spans="1:14">
      <c r="A37" s="5" t="s">
        <v>66</v>
      </c>
      <c r="B37" s="3" t="s">
        <v>8</v>
      </c>
      <c r="C37" s="3" t="s">
        <v>17</v>
      </c>
      <c r="D37" s="3" t="s">
        <v>18</v>
      </c>
      <c r="E37" s="14" t="s">
        <v>6</v>
      </c>
      <c r="F37" s="14" t="s">
        <v>6</v>
      </c>
      <c r="G37" s="1" t="s">
        <v>118</v>
      </c>
      <c r="H37" s="13" t="s">
        <v>119</v>
      </c>
      <c r="I37" s="18" t="s">
        <v>1</v>
      </c>
      <c r="J37" s="3" t="s">
        <v>16</v>
      </c>
      <c r="K37" s="1" t="str">
        <f t="shared" si="1"/>
        <v>JK121L-8_JK121L_LB_PG1341_NA_NA_blank</v>
      </c>
    </row>
    <row r="38" spans="1:14">
      <c r="A38" s="5" t="s">
        <v>67</v>
      </c>
      <c r="B38" s="3" t="s">
        <v>0</v>
      </c>
      <c r="C38" s="3" t="s">
        <v>17</v>
      </c>
      <c r="D38" s="3" t="s">
        <v>18</v>
      </c>
      <c r="E38" s="14" t="s">
        <v>6</v>
      </c>
      <c r="F38" s="14" t="s">
        <v>6</v>
      </c>
      <c r="G38" s="1" t="s">
        <v>24</v>
      </c>
      <c r="H38" s="13" t="s">
        <v>29</v>
      </c>
      <c r="I38" s="18" t="s">
        <v>1</v>
      </c>
      <c r="J38" s="3" t="s">
        <v>16</v>
      </c>
      <c r="K38" s="1" t="str">
        <f t="shared" si="1"/>
        <v>JK115L-8_JK115L_LB_PG1341_NA_NA_blank</v>
      </c>
    </row>
    <row r="39" spans="1:14">
      <c r="A39" s="5" t="s">
        <v>68</v>
      </c>
      <c r="B39" s="3" t="s">
        <v>8</v>
      </c>
      <c r="C39" s="3" t="s">
        <v>17</v>
      </c>
      <c r="D39" s="3" t="s">
        <v>18</v>
      </c>
      <c r="E39" s="14" t="s">
        <v>6</v>
      </c>
      <c r="F39" s="14" t="s">
        <v>6</v>
      </c>
      <c r="G39" s="1" t="s">
        <v>24</v>
      </c>
      <c r="H39" s="13" t="s">
        <v>29</v>
      </c>
      <c r="I39" s="18" t="s">
        <v>1</v>
      </c>
      <c r="J39" s="3" t="s">
        <v>16</v>
      </c>
      <c r="K39" s="1" t="str">
        <f t="shared" si="1"/>
        <v>JK115L-8_JK115L_LB_PG1341_NA_NA_blank</v>
      </c>
    </row>
    <row r="40" spans="1:14">
      <c r="A40" s="5" t="s">
        <v>69</v>
      </c>
      <c r="B40" s="3" t="s">
        <v>0</v>
      </c>
      <c r="C40" s="3" t="s">
        <v>17</v>
      </c>
      <c r="D40" s="3" t="s">
        <v>18</v>
      </c>
      <c r="E40" s="14" t="s">
        <v>6</v>
      </c>
      <c r="F40" s="14" t="s">
        <v>6</v>
      </c>
      <c r="G40" s="1" t="s">
        <v>22</v>
      </c>
      <c r="H40" s="13" t="s">
        <v>28</v>
      </c>
      <c r="I40" s="18" t="s">
        <v>1</v>
      </c>
      <c r="J40" s="3" t="s">
        <v>16</v>
      </c>
      <c r="K40" s="1" t="str">
        <f t="shared" si="1"/>
        <v>JK109L-8_JK109L_LB_PG1341_NA_NA_blank</v>
      </c>
    </row>
    <row r="41" spans="1:14">
      <c r="A41" s="5" t="s">
        <v>70</v>
      </c>
      <c r="B41" s="3" t="s">
        <v>8</v>
      </c>
      <c r="C41" s="3" t="s">
        <v>17</v>
      </c>
      <c r="D41" s="3" t="s">
        <v>18</v>
      </c>
      <c r="E41" s="14" t="s">
        <v>6</v>
      </c>
      <c r="F41" s="14" t="s">
        <v>6</v>
      </c>
      <c r="G41" s="1" t="s">
        <v>22</v>
      </c>
      <c r="H41" s="13" t="s">
        <v>28</v>
      </c>
      <c r="I41" s="18" t="s">
        <v>1</v>
      </c>
      <c r="J41" s="3" t="s">
        <v>16</v>
      </c>
      <c r="K41" s="1" t="str">
        <f t="shared" si="1"/>
        <v>JK109L-8_JK109L_LB_PG1341_NA_NA_blank</v>
      </c>
    </row>
    <row r="42" spans="1:14">
      <c r="A42" s="5" t="s">
        <v>71</v>
      </c>
      <c r="B42" s="3" t="s">
        <v>0</v>
      </c>
      <c r="C42" s="3" t="s">
        <v>17</v>
      </c>
      <c r="D42" s="3" t="s">
        <v>18</v>
      </c>
      <c r="E42" s="13">
        <v>901.5</v>
      </c>
      <c r="F42" s="13">
        <v>16946</v>
      </c>
      <c r="G42" s="1" t="s">
        <v>120</v>
      </c>
      <c r="H42" s="13" t="s">
        <v>92</v>
      </c>
      <c r="I42" s="18" t="s">
        <v>121</v>
      </c>
      <c r="J42" s="3" t="s">
        <v>15</v>
      </c>
      <c r="K42" s="1" t="str">
        <f t="shared" si="1"/>
        <v>JK120L-7_JK120L_ELS116_PG1341_901,5_16946_sample</v>
      </c>
    </row>
    <row r="43" spans="1:14">
      <c r="A43" s="5" t="s">
        <v>72</v>
      </c>
      <c r="B43" s="3" t="s">
        <v>8</v>
      </c>
      <c r="C43" s="3" t="s">
        <v>17</v>
      </c>
      <c r="D43" s="3" t="s">
        <v>18</v>
      </c>
      <c r="E43" s="13">
        <v>901.5</v>
      </c>
      <c r="F43" s="13">
        <v>16946</v>
      </c>
      <c r="G43" s="1" t="s">
        <v>120</v>
      </c>
      <c r="H43" s="13" t="s">
        <v>92</v>
      </c>
      <c r="I43" s="18" t="s">
        <v>121</v>
      </c>
      <c r="J43" s="3" t="s">
        <v>15</v>
      </c>
      <c r="K43" s="1" t="str">
        <f t="shared" si="1"/>
        <v>JK120L-7_JK120L_ELS116_PG1341_901,5_16946_sample</v>
      </c>
    </row>
    <row r="44" spans="1:14">
      <c r="A44" s="5" t="s">
        <v>73</v>
      </c>
      <c r="B44" s="3" t="s">
        <v>0</v>
      </c>
      <c r="C44" s="3" t="s">
        <v>17</v>
      </c>
      <c r="D44" s="3" t="s">
        <v>18</v>
      </c>
      <c r="E44" s="13">
        <v>10.5</v>
      </c>
      <c r="F44" s="13">
        <v>53</v>
      </c>
      <c r="G44" s="1" t="s">
        <v>122</v>
      </c>
      <c r="H44" s="13" t="s">
        <v>26</v>
      </c>
      <c r="I44" s="18" t="s">
        <v>123</v>
      </c>
      <c r="J44" s="3" t="s">
        <v>15</v>
      </c>
      <c r="K44" s="1" t="str">
        <f t="shared" si="1"/>
        <v>BH194L-3_BH194L_EBH011_PG1341_10,5_53_sample</v>
      </c>
    </row>
    <row r="45" spans="1:14">
      <c r="A45" s="5" t="s">
        <v>74</v>
      </c>
      <c r="B45" s="3" t="s">
        <v>8</v>
      </c>
      <c r="C45" s="3" t="s">
        <v>17</v>
      </c>
      <c r="D45" s="3" t="s">
        <v>18</v>
      </c>
      <c r="E45" s="13">
        <v>10.5</v>
      </c>
      <c r="F45" s="13">
        <v>53</v>
      </c>
      <c r="G45" s="1" t="s">
        <v>122</v>
      </c>
      <c r="H45" s="13" t="s">
        <v>26</v>
      </c>
      <c r="I45" s="18" t="s">
        <v>123</v>
      </c>
      <c r="J45" s="3" t="s">
        <v>15</v>
      </c>
      <c r="K45" s="1" t="str">
        <f t="shared" si="1"/>
        <v>BH194L-3_BH194L_EBH011_PG1341_10,5_53_sample</v>
      </c>
    </row>
    <row r="46" spans="1:14">
      <c r="A46" s="5" t="s">
        <v>75</v>
      </c>
      <c r="B46" s="3" t="s">
        <v>0</v>
      </c>
      <c r="C46" s="3" t="s">
        <v>17</v>
      </c>
      <c r="D46" s="3" t="s">
        <v>18</v>
      </c>
      <c r="E46" s="13">
        <v>56.5</v>
      </c>
      <c r="F46" s="13">
        <v>712</v>
      </c>
      <c r="G46" s="1" t="s">
        <v>124</v>
      </c>
      <c r="H46" s="13" t="s">
        <v>26</v>
      </c>
      <c r="I46" s="18" t="s">
        <v>125</v>
      </c>
      <c r="J46" s="3" t="s">
        <v>15</v>
      </c>
      <c r="K46" s="1" t="str">
        <f t="shared" si="1"/>
        <v>BH194L-6_BH194L_EBH014_PG1341_56,5_712_sample</v>
      </c>
    </row>
    <row r="47" spans="1:14">
      <c r="A47" s="5" t="s">
        <v>76</v>
      </c>
      <c r="B47" s="3" t="s">
        <v>8</v>
      </c>
      <c r="C47" s="3" t="s">
        <v>17</v>
      </c>
      <c r="D47" s="3" t="s">
        <v>18</v>
      </c>
      <c r="E47" s="13">
        <v>56.5</v>
      </c>
      <c r="F47" s="13">
        <v>712</v>
      </c>
      <c r="G47" s="1" t="s">
        <v>124</v>
      </c>
      <c r="H47" s="13" t="s">
        <v>26</v>
      </c>
      <c r="I47" s="18" t="s">
        <v>125</v>
      </c>
      <c r="J47" s="3" t="s">
        <v>15</v>
      </c>
      <c r="K47" s="1" t="str">
        <f t="shared" si="1"/>
        <v>BH194L-6_BH194L_EBH014_PG1341_56,5_712_sample</v>
      </c>
    </row>
    <row r="48" spans="1:14">
      <c r="A48" s="5" t="s">
        <v>77</v>
      </c>
      <c r="B48" s="3" t="s">
        <v>0</v>
      </c>
      <c r="C48" s="3" t="s">
        <v>17</v>
      </c>
      <c r="D48" s="3" t="s">
        <v>18</v>
      </c>
      <c r="E48" s="13">
        <v>99.5</v>
      </c>
      <c r="F48" s="13">
        <v>1817</v>
      </c>
      <c r="G48" s="1" t="s">
        <v>126</v>
      </c>
      <c r="H48" s="13" t="s">
        <v>27</v>
      </c>
      <c r="I48" s="18" t="s">
        <v>127</v>
      </c>
      <c r="J48" s="3" t="s">
        <v>15</v>
      </c>
      <c r="K48" s="1" t="str">
        <f t="shared" si="1"/>
        <v>BH195L-1_BH195L_EBH016_PG1341_99,5_1817_sample</v>
      </c>
    </row>
    <row r="49" spans="1:11">
      <c r="A49" s="5" t="s">
        <v>78</v>
      </c>
      <c r="B49" s="3" t="s">
        <v>8</v>
      </c>
      <c r="C49" s="3" t="s">
        <v>17</v>
      </c>
      <c r="D49" s="3" t="s">
        <v>18</v>
      </c>
      <c r="E49" s="13">
        <v>99.5</v>
      </c>
      <c r="F49" s="13">
        <v>1817</v>
      </c>
      <c r="G49" s="1" t="s">
        <v>126</v>
      </c>
      <c r="H49" s="13" t="s">
        <v>27</v>
      </c>
      <c r="I49" s="18" t="s">
        <v>127</v>
      </c>
      <c r="J49" s="3" t="s">
        <v>15</v>
      </c>
      <c r="K49" s="1" t="str">
        <f t="shared" si="1"/>
        <v>BH195L-1_BH195L_EBH016_PG1341_99,5_1817_sample</v>
      </c>
    </row>
    <row r="50" spans="1:11">
      <c r="A50" s="5" t="s">
        <v>79</v>
      </c>
      <c r="B50" s="3" t="s">
        <v>0</v>
      </c>
      <c r="C50" s="3" t="s">
        <v>17</v>
      </c>
      <c r="D50" s="3" t="s">
        <v>18</v>
      </c>
      <c r="E50" s="13">
        <v>170.5</v>
      </c>
      <c r="F50" s="13">
        <v>4322</v>
      </c>
      <c r="G50" s="1" t="s">
        <v>128</v>
      </c>
      <c r="H50" s="13" t="s">
        <v>27</v>
      </c>
      <c r="I50" s="18" t="s">
        <v>129</v>
      </c>
      <c r="J50" s="3" t="s">
        <v>15</v>
      </c>
      <c r="K50" s="1" t="str">
        <f t="shared" si="1"/>
        <v>BH195L-3_BH195L_EBH018_PG1341_170,5_4322_sample</v>
      </c>
    </row>
    <row r="51" spans="1:11">
      <c r="A51" s="5" t="s">
        <v>80</v>
      </c>
      <c r="B51" s="3" t="s">
        <v>8</v>
      </c>
      <c r="C51" s="3" t="s">
        <v>17</v>
      </c>
      <c r="D51" s="3" t="s">
        <v>18</v>
      </c>
      <c r="E51" s="13">
        <v>170.5</v>
      </c>
      <c r="F51" s="13">
        <v>4322</v>
      </c>
      <c r="G51" s="1" t="s">
        <v>128</v>
      </c>
      <c r="H51" s="13" t="s">
        <v>27</v>
      </c>
      <c r="I51" s="18" t="s">
        <v>129</v>
      </c>
      <c r="J51" s="3" t="s">
        <v>15</v>
      </c>
      <c r="K51" s="1" t="str">
        <f t="shared" si="1"/>
        <v>BH195L-3_BH195L_EBH018_PG1341_170,5_4322_sample</v>
      </c>
    </row>
    <row r="52" spans="1:11">
      <c r="A52" s="5" t="s">
        <v>81</v>
      </c>
      <c r="B52" s="3" t="s">
        <v>0</v>
      </c>
      <c r="C52" s="3" t="s">
        <v>17</v>
      </c>
      <c r="D52" s="3" t="s">
        <v>18</v>
      </c>
      <c r="E52" s="13">
        <v>190.5</v>
      </c>
      <c r="F52" s="13">
        <v>5149</v>
      </c>
      <c r="G52" s="1" t="s">
        <v>130</v>
      </c>
      <c r="H52" s="13" t="s">
        <v>27</v>
      </c>
      <c r="I52" s="18" t="s">
        <v>131</v>
      </c>
      <c r="J52" s="3" t="s">
        <v>15</v>
      </c>
      <c r="K52" s="1" t="str">
        <f t="shared" si="1"/>
        <v>BH195L-4_BH195L_EBH019_PG1341_190,5_5149_sample</v>
      </c>
    </row>
    <row r="53" spans="1:11">
      <c r="A53" s="5" t="s">
        <v>82</v>
      </c>
      <c r="B53" s="3" t="s">
        <v>8</v>
      </c>
      <c r="C53" s="3" t="s">
        <v>17</v>
      </c>
      <c r="D53" s="3" t="s">
        <v>18</v>
      </c>
      <c r="E53" s="13">
        <v>190.5</v>
      </c>
      <c r="F53" s="13">
        <v>5149</v>
      </c>
      <c r="G53" s="1" t="s">
        <v>130</v>
      </c>
      <c r="H53" s="13" t="s">
        <v>27</v>
      </c>
      <c r="I53" s="18" t="s">
        <v>131</v>
      </c>
      <c r="J53" s="3" t="s">
        <v>15</v>
      </c>
      <c r="K53" s="1" t="str">
        <f t="shared" si="1"/>
        <v>BH195L-4_BH195L_EBH019_PG1341_190,5_5149_sample</v>
      </c>
    </row>
    <row r="54" spans="1:11">
      <c r="A54" s="5" t="s">
        <v>83</v>
      </c>
      <c r="B54" s="3" t="s">
        <v>0</v>
      </c>
      <c r="C54" s="3" t="s">
        <v>17</v>
      </c>
      <c r="D54" s="3" t="s">
        <v>18</v>
      </c>
      <c r="E54" s="19" t="s">
        <v>6</v>
      </c>
      <c r="F54" s="19" t="s">
        <v>6</v>
      </c>
      <c r="G54" s="1" t="s">
        <v>132</v>
      </c>
      <c r="H54" s="13" t="s">
        <v>27</v>
      </c>
      <c r="I54" s="18" t="s">
        <v>133</v>
      </c>
      <c r="J54" s="3" t="s">
        <v>16</v>
      </c>
      <c r="K54" s="1" t="str">
        <f t="shared" si="1"/>
        <v>BH195L-6_BH195L_EBH010_EB_PG1341_NA_NA_blank</v>
      </c>
    </row>
    <row r="55" spans="1:11">
      <c r="A55" s="5" t="s">
        <v>84</v>
      </c>
      <c r="B55" s="3" t="s">
        <v>8</v>
      </c>
      <c r="C55" s="3" t="s">
        <v>17</v>
      </c>
      <c r="D55" s="3" t="s">
        <v>18</v>
      </c>
      <c r="E55" s="19" t="s">
        <v>6</v>
      </c>
      <c r="F55" s="19" t="s">
        <v>6</v>
      </c>
      <c r="G55" s="1" t="s">
        <v>132</v>
      </c>
      <c r="H55" s="13" t="s">
        <v>27</v>
      </c>
      <c r="I55" s="18" t="s">
        <v>133</v>
      </c>
      <c r="J55" s="3" t="s">
        <v>16</v>
      </c>
      <c r="K55" s="1" t="str">
        <f t="shared" si="1"/>
        <v>BH195L-6_BH195L_EBH010_EB_PG1341_NA_NA_blank</v>
      </c>
    </row>
    <row r="56" spans="1:11">
      <c r="A56" s="5" t="s">
        <v>85</v>
      </c>
      <c r="B56" s="3" t="s">
        <v>0</v>
      </c>
      <c r="C56" s="3" t="s">
        <v>17</v>
      </c>
      <c r="D56" s="3" t="s">
        <v>18</v>
      </c>
      <c r="E56" s="13">
        <v>715.5</v>
      </c>
      <c r="F56" s="13">
        <v>15596</v>
      </c>
      <c r="G56" s="1" t="s">
        <v>134</v>
      </c>
      <c r="H56" s="13" t="s">
        <v>119</v>
      </c>
      <c r="I56" s="18" t="s">
        <v>135</v>
      </c>
      <c r="J56" s="3" t="s">
        <v>15</v>
      </c>
      <c r="K56" s="1" t="str">
        <f t="shared" si="1"/>
        <v>JK121L-1_JK121L_ELS118_PG1341_715,5_15596_sample</v>
      </c>
    </row>
    <row r="57" spans="1:11">
      <c r="A57" s="5" t="s">
        <v>86</v>
      </c>
      <c r="B57" s="3" t="s">
        <v>8</v>
      </c>
      <c r="C57" s="3" t="s">
        <v>17</v>
      </c>
      <c r="D57" s="3" t="s">
        <v>18</v>
      </c>
      <c r="E57" s="13">
        <v>715.5</v>
      </c>
      <c r="F57" s="13">
        <v>15596</v>
      </c>
      <c r="G57" s="1" t="s">
        <v>134</v>
      </c>
      <c r="H57" s="13" t="s">
        <v>119</v>
      </c>
      <c r="I57" s="18" t="s">
        <v>135</v>
      </c>
      <c r="J57" s="3" t="s">
        <v>15</v>
      </c>
      <c r="K57" s="1" t="str">
        <f t="shared" si="1"/>
        <v>JK121L-1_JK121L_ELS118_PG1341_715,5_15596_sample</v>
      </c>
    </row>
    <row r="58" spans="1:11">
      <c r="A58" s="5" t="s">
        <v>87</v>
      </c>
      <c r="B58" s="3" t="s">
        <v>0</v>
      </c>
      <c r="C58" s="3" t="s">
        <v>17</v>
      </c>
      <c r="D58" s="3" t="s">
        <v>18</v>
      </c>
      <c r="E58" s="13">
        <v>595.5</v>
      </c>
      <c r="F58" s="13">
        <v>14667</v>
      </c>
      <c r="G58" s="1" t="s">
        <v>136</v>
      </c>
      <c r="H58" s="13" t="s">
        <v>29</v>
      </c>
      <c r="I58" s="18" t="s">
        <v>137</v>
      </c>
      <c r="J58" s="3" t="s">
        <v>15</v>
      </c>
      <c r="K58" s="1" t="str">
        <f t="shared" si="1"/>
        <v>JK115L-3_JK115L_ELS120_PG1341_595,5_14667_sample</v>
      </c>
    </row>
    <row r="59" spans="1:11">
      <c r="A59" s="5" t="s">
        <v>88</v>
      </c>
      <c r="B59" s="3" t="s">
        <v>8</v>
      </c>
      <c r="C59" s="3" t="s">
        <v>17</v>
      </c>
      <c r="D59" s="3" t="s">
        <v>18</v>
      </c>
      <c r="E59" s="13">
        <v>595.5</v>
      </c>
      <c r="F59" s="13">
        <v>14667</v>
      </c>
      <c r="G59" s="1" t="s">
        <v>136</v>
      </c>
      <c r="H59" s="13" t="s">
        <v>29</v>
      </c>
      <c r="I59" s="18" t="s">
        <v>137</v>
      </c>
      <c r="J59" s="3" t="s">
        <v>15</v>
      </c>
      <c r="K59" s="1" t="str">
        <f t="shared" si="1"/>
        <v>JK115L-3_JK115L_ELS120_PG1341_595,5_14667_sample</v>
      </c>
    </row>
    <row r="60" spans="1:11">
      <c r="A60" s="5" t="s">
        <v>89</v>
      </c>
      <c r="B60" s="3" t="s">
        <v>0</v>
      </c>
      <c r="C60" s="3" t="s">
        <v>17</v>
      </c>
      <c r="D60" s="3" t="s">
        <v>18</v>
      </c>
      <c r="E60" s="13">
        <v>260.5</v>
      </c>
      <c r="F60" s="13">
        <v>7569</v>
      </c>
      <c r="G60" s="1" t="s">
        <v>138</v>
      </c>
      <c r="H60" s="13" t="s">
        <v>28</v>
      </c>
      <c r="I60" s="18" t="s">
        <v>30</v>
      </c>
      <c r="J60" s="3" t="s">
        <v>15</v>
      </c>
      <c r="K60" s="1" t="str">
        <f t="shared" si="1"/>
        <v>JK109L-5_JK109L_ELS124_PG1341_260,5_7569_sample</v>
      </c>
    </row>
    <row r="61" spans="1:11">
      <c r="A61" s="5" t="s">
        <v>90</v>
      </c>
      <c r="B61" s="3" t="s">
        <v>8</v>
      </c>
      <c r="C61" s="3" t="s">
        <v>17</v>
      </c>
      <c r="D61" s="3" t="s">
        <v>18</v>
      </c>
      <c r="E61" s="13">
        <v>260.5</v>
      </c>
      <c r="F61" s="13">
        <v>7569</v>
      </c>
      <c r="G61" s="1" t="s">
        <v>138</v>
      </c>
      <c r="H61" s="13" t="s">
        <v>28</v>
      </c>
      <c r="I61" s="18" t="s">
        <v>30</v>
      </c>
      <c r="J61" s="3" t="s">
        <v>15</v>
      </c>
      <c r="K61" s="1" t="str">
        <f t="shared" si="1"/>
        <v>JK109L-5_JK109L_ELS124_PG1341_260,5_7569_sample</v>
      </c>
    </row>
    <row r="62" spans="1:11">
      <c r="A62"/>
      <c r="B62" s="3"/>
      <c r="C62" s="3"/>
      <c r="D62" s="3"/>
      <c r="E62" s="14"/>
      <c r="F62" s="14"/>
      <c r="G62" s="12"/>
      <c r="H62" s="12"/>
      <c r="I62" s="12"/>
      <c r="J62" s="3"/>
      <c r="K62" s="1"/>
    </row>
    <row r="63" spans="1:11">
      <c r="A63"/>
      <c r="B63" s="3"/>
      <c r="C63" s="3"/>
      <c r="D63" s="3"/>
      <c r="E63" s="14"/>
      <c r="F63" s="14"/>
      <c r="G63" s="12"/>
      <c r="H63" s="12"/>
      <c r="I63" s="12"/>
      <c r="J63" s="3"/>
      <c r="K63" s="1"/>
    </row>
    <row r="64" spans="1:11">
      <c r="A64"/>
      <c r="B64" s="3"/>
      <c r="C64" s="3"/>
      <c r="D64" s="3"/>
      <c r="E64" s="14"/>
      <c r="F64" s="14"/>
      <c r="G64" s="12"/>
      <c r="H64" s="12"/>
      <c r="I64" s="12"/>
      <c r="J64" s="3"/>
      <c r="K64" s="1"/>
    </row>
    <row r="65" spans="1:11">
      <c r="A65"/>
      <c r="B65" s="3"/>
      <c r="C65" s="3"/>
      <c r="D65" s="3"/>
      <c r="E65" s="16"/>
      <c r="F65" s="16"/>
      <c r="G65" s="12"/>
      <c r="H65" s="12"/>
      <c r="I65" s="12"/>
      <c r="J65" s="3"/>
      <c r="K65" s="1"/>
    </row>
    <row r="66" spans="1:11">
      <c r="A66"/>
      <c r="B66" s="3"/>
      <c r="C66" s="3"/>
      <c r="D66" s="3"/>
      <c r="E66" s="16"/>
      <c r="F66" s="16"/>
      <c r="G66" s="12"/>
      <c r="H66" s="12"/>
      <c r="I66" s="12"/>
      <c r="J66" s="12"/>
      <c r="K66" s="1"/>
    </row>
    <row r="67" spans="1:11">
      <c r="A67"/>
      <c r="B67" s="3"/>
      <c r="C67" s="3"/>
      <c r="D67" s="3"/>
      <c r="E67" s="16"/>
      <c r="F67" s="16"/>
      <c r="G67" s="12"/>
      <c r="H67" s="12"/>
      <c r="I67" s="12"/>
      <c r="J67" s="12"/>
      <c r="K67" s="1"/>
    </row>
    <row r="68" spans="1:11">
      <c r="A68"/>
      <c r="B68" s="3"/>
      <c r="C68" s="3"/>
      <c r="D68" s="3"/>
      <c r="E68" s="16"/>
      <c r="F68" s="16"/>
      <c r="G68" s="12"/>
      <c r="H68" s="12"/>
      <c r="I68" s="12"/>
      <c r="J68" s="12"/>
      <c r="K68" s="1"/>
    </row>
    <row r="69" spans="1:11">
      <c r="A69"/>
      <c r="B69" s="3"/>
      <c r="C69" s="3"/>
      <c r="D69" s="3"/>
      <c r="E69" s="16"/>
      <c r="F69" s="16"/>
      <c r="G69" s="12"/>
      <c r="H69" s="12"/>
      <c r="I69" s="12"/>
      <c r="J69" s="12"/>
      <c r="K69" s="1"/>
    </row>
    <row r="70" spans="1:11">
      <c r="A70"/>
      <c r="B70" s="3"/>
      <c r="C70" s="3"/>
      <c r="D70" s="3"/>
      <c r="E70" s="16"/>
      <c r="F70" s="16"/>
      <c r="G70" s="12"/>
      <c r="H70" s="12"/>
      <c r="I70" s="12"/>
      <c r="J70" s="12"/>
      <c r="K70" s="1"/>
    </row>
    <row r="71" spans="1:11">
      <c r="A71"/>
      <c r="B71" s="3"/>
      <c r="C71" s="3"/>
      <c r="D71" s="3"/>
      <c r="E71" s="16"/>
      <c r="F71" s="16"/>
      <c r="G71" s="12"/>
      <c r="H71" s="12"/>
      <c r="I71" s="12"/>
      <c r="J71" s="12"/>
      <c r="K71" s="1"/>
    </row>
    <row r="72" spans="1:11">
      <c r="A72"/>
      <c r="B72" s="3"/>
      <c r="C72" s="3"/>
      <c r="D72" s="3"/>
      <c r="E72" s="16"/>
      <c r="F72" s="16"/>
      <c r="G72" s="12"/>
      <c r="H72" s="12"/>
      <c r="I72" s="12"/>
      <c r="J72" s="12"/>
      <c r="K72" s="1"/>
    </row>
    <row r="73" spans="1:11">
      <c r="A73"/>
      <c r="B73" s="3"/>
      <c r="C73" s="3"/>
      <c r="D73" s="3"/>
      <c r="E73" s="16"/>
      <c r="F73" s="16"/>
      <c r="G73" s="12"/>
      <c r="H73" s="12"/>
      <c r="I73" s="12"/>
      <c r="J73" s="12"/>
      <c r="K73" s="1"/>
    </row>
    <row r="74" spans="1:11">
      <c r="A74"/>
      <c r="B74" s="3"/>
      <c r="C74" s="3"/>
      <c r="D74" s="3"/>
      <c r="E74" s="16"/>
      <c r="F74" s="16"/>
      <c r="G74" s="12"/>
      <c r="H74" s="12"/>
      <c r="I74" s="12"/>
      <c r="J74" s="12"/>
      <c r="K74" s="1"/>
    </row>
    <row r="75" spans="1:11">
      <c r="A75"/>
      <c r="B75" s="3"/>
      <c r="C75" s="3"/>
      <c r="D75" s="3"/>
      <c r="E75" s="16"/>
      <c r="F75" s="16"/>
      <c r="G75" s="12"/>
      <c r="H75" s="12"/>
      <c r="I75" s="12"/>
      <c r="J75" s="12"/>
      <c r="K75" s="1"/>
    </row>
    <row r="76" spans="1:11">
      <c r="A76"/>
      <c r="B76" s="3"/>
      <c r="C76" s="3"/>
      <c r="D76" s="3"/>
      <c r="E76" s="16"/>
      <c r="F76" s="16"/>
      <c r="G76" s="12"/>
      <c r="H76" s="12"/>
      <c r="I76" s="12"/>
      <c r="J76" s="12"/>
      <c r="K76" s="1"/>
    </row>
    <row r="77" spans="1:11">
      <c r="A77"/>
      <c r="B77" s="3"/>
      <c r="C77" s="3"/>
      <c r="D77" s="3"/>
      <c r="E77" s="16"/>
      <c r="F77" s="16"/>
      <c r="G77" s="12"/>
      <c r="H77" s="12"/>
      <c r="I77" s="12"/>
      <c r="J77" s="12"/>
      <c r="K77" s="1"/>
    </row>
    <row r="78" spans="1:11">
      <c r="A78"/>
      <c r="B78" s="3"/>
      <c r="C78" s="3"/>
      <c r="D78" s="3"/>
      <c r="E78" s="16"/>
      <c r="F78" s="16"/>
      <c r="G78" s="12"/>
      <c r="H78" s="12"/>
      <c r="I78" s="12"/>
      <c r="J78" s="12"/>
      <c r="K78" s="1"/>
    </row>
    <row r="79" spans="1:11">
      <c r="A79"/>
      <c r="B79" s="3"/>
      <c r="C79" s="3"/>
      <c r="D79" s="3"/>
      <c r="E79" s="16"/>
      <c r="F79" s="16"/>
      <c r="G79" s="12"/>
      <c r="H79" s="12"/>
      <c r="I79" s="12"/>
      <c r="J79" s="12"/>
      <c r="K79" s="1"/>
    </row>
    <row r="80" spans="1:11">
      <c r="A80"/>
      <c r="B80" s="3"/>
      <c r="C80" s="3"/>
      <c r="D80" s="3"/>
      <c r="E80" s="16"/>
      <c r="F80" s="16"/>
      <c r="G80" s="12"/>
      <c r="H80" s="12"/>
      <c r="I80" s="12"/>
      <c r="J80" s="12"/>
      <c r="K80" s="1"/>
    </row>
    <row r="81" spans="1:11">
      <c r="A81"/>
      <c r="B81" s="3"/>
      <c r="C81" s="3"/>
      <c r="D81" s="3"/>
      <c r="E81" s="16"/>
      <c r="F81" s="16"/>
      <c r="G81" s="12"/>
      <c r="H81" s="12"/>
      <c r="I81" s="12"/>
      <c r="J81" s="12"/>
      <c r="K81" s="1"/>
    </row>
    <row r="82" spans="1:11">
      <c r="A82"/>
      <c r="B82" s="3"/>
      <c r="C82" s="3"/>
      <c r="D82" s="3"/>
      <c r="E82" s="16"/>
      <c r="F82" s="16"/>
      <c r="G82" s="12"/>
      <c r="H82" s="12"/>
      <c r="I82" s="12"/>
      <c r="J82" s="12"/>
      <c r="K82" s="1"/>
    </row>
    <row r="83" spans="1:11">
      <c r="A83"/>
      <c r="B83" s="3"/>
      <c r="C83" s="3"/>
      <c r="D83" s="3"/>
      <c r="E83" s="16"/>
      <c r="F83" s="16"/>
      <c r="G83" s="12"/>
      <c r="H83" s="12"/>
      <c r="I83" s="12"/>
      <c r="J83" s="12"/>
      <c r="K83" s="1"/>
    </row>
    <row r="84" spans="1:11">
      <c r="A84"/>
      <c r="B84" s="3"/>
      <c r="C84" s="3"/>
      <c r="D84" s="3"/>
      <c r="E84" s="16"/>
      <c r="F84" s="16"/>
      <c r="G84" s="12"/>
      <c r="H84" s="12"/>
      <c r="I84" s="12"/>
      <c r="J84" s="12"/>
      <c r="K84" s="1"/>
    </row>
    <row r="85" spans="1:11">
      <c r="A85"/>
      <c r="B85" s="3"/>
      <c r="C85" s="3"/>
      <c r="D85" s="3"/>
      <c r="E85" s="16"/>
      <c r="F85" s="16"/>
      <c r="G85" s="12"/>
      <c r="H85" s="12"/>
      <c r="I85" s="12"/>
      <c r="J85" s="12"/>
      <c r="K85" s="1"/>
    </row>
    <row r="86" spans="1:11">
      <c r="A86"/>
      <c r="B86" s="3"/>
      <c r="C86" s="3"/>
      <c r="D86" s="3"/>
      <c r="E86" s="16"/>
      <c r="F86" s="16"/>
      <c r="G86" s="12"/>
      <c r="H86" s="12"/>
      <c r="I86" s="12"/>
      <c r="J86" s="12"/>
      <c r="K86" s="1"/>
    </row>
    <row r="87" spans="1:11">
      <c r="A87"/>
      <c r="B87" s="3"/>
      <c r="C87" s="3"/>
      <c r="D87" s="3"/>
      <c r="E87" s="16"/>
      <c r="F87" s="16"/>
      <c r="G87" s="12"/>
      <c r="H87" s="12"/>
      <c r="I87" s="12"/>
      <c r="J87" s="12"/>
      <c r="K87" s="1"/>
    </row>
    <row r="88" spans="1:11">
      <c r="A88"/>
      <c r="B88" s="3"/>
      <c r="C88" s="3"/>
      <c r="D88" s="3"/>
      <c r="E88" s="16"/>
      <c r="F88" s="16"/>
      <c r="G88" s="12"/>
      <c r="H88" s="12"/>
      <c r="I88" s="12"/>
      <c r="J88" s="12"/>
      <c r="K88" s="1"/>
    </row>
    <row r="89" spans="1:11">
      <c r="A89"/>
      <c r="B89" s="3"/>
      <c r="C89" s="3"/>
      <c r="D89" s="3"/>
      <c r="E89" s="16"/>
      <c r="F89" s="16"/>
      <c r="G89" s="12"/>
      <c r="H89" s="12"/>
      <c r="I89" s="12"/>
      <c r="J89" s="12"/>
      <c r="K89" s="1"/>
    </row>
    <row r="90" spans="1:11">
      <c r="A90"/>
      <c r="B90" s="3"/>
      <c r="C90" s="3"/>
      <c r="D90" s="3"/>
      <c r="E90" s="16"/>
      <c r="F90" s="16"/>
      <c r="G90" s="12"/>
      <c r="H90" s="12"/>
      <c r="I90" s="12"/>
      <c r="J90" s="12"/>
      <c r="K90" s="1"/>
    </row>
    <row r="91" spans="1:11">
      <c r="A91"/>
      <c r="B91" s="3"/>
      <c r="C91" s="3"/>
      <c r="D91" s="3"/>
      <c r="E91" s="16"/>
      <c r="F91" s="16"/>
      <c r="G91" s="12"/>
      <c r="H91" s="12"/>
      <c r="I91" s="12"/>
      <c r="J91" s="12"/>
      <c r="K91" s="1"/>
    </row>
    <row r="92" spans="1:11">
      <c r="A92"/>
      <c r="B92" s="3"/>
      <c r="C92" s="3"/>
      <c r="D92" s="3"/>
      <c r="E92" s="16"/>
      <c r="F92" s="16"/>
      <c r="G92" s="12"/>
      <c r="H92" s="12"/>
      <c r="I92" s="12"/>
      <c r="J92" s="12"/>
      <c r="K92" s="1"/>
    </row>
    <row r="93" spans="1:11">
      <c r="A93"/>
      <c r="B93" s="3"/>
      <c r="C93" s="3"/>
      <c r="D93" s="3"/>
      <c r="E93" s="16"/>
      <c r="F93" s="16"/>
      <c r="G93" s="12"/>
      <c r="H93" s="12"/>
      <c r="I93" s="12"/>
      <c r="J93" s="12"/>
      <c r="K93" s="1"/>
    </row>
    <row r="94" spans="1:11">
      <c r="A94"/>
      <c r="B94" s="3"/>
      <c r="C94" s="3"/>
      <c r="D94" s="3"/>
      <c r="E94" s="16"/>
      <c r="F94" s="16"/>
      <c r="G94" s="12"/>
      <c r="H94" s="12"/>
      <c r="I94" s="12"/>
      <c r="J94" s="12"/>
      <c r="K94" s="1"/>
    </row>
    <row r="95" spans="1:11">
      <c r="A95"/>
      <c r="B95" s="3"/>
      <c r="C95" s="3"/>
      <c r="D95" s="3"/>
      <c r="E95" s="16"/>
      <c r="F95" s="16"/>
      <c r="G95" s="12"/>
      <c r="H95" s="12"/>
      <c r="I95" s="12"/>
      <c r="J95" s="12"/>
      <c r="K95" s="1"/>
    </row>
    <row r="96" spans="1:11">
      <c r="A96"/>
      <c r="B96" s="3"/>
      <c r="C96" s="3"/>
      <c r="D96" s="3"/>
      <c r="E96" s="16"/>
      <c r="F96" s="16"/>
      <c r="G96" s="12"/>
      <c r="H96" s="12"/>
      <c r="I96" s="12"/>
      <c r="J96" s="12"/>
      <c r="K96" s="1"/>
    </row>
    <row r="97" spans="1:11">
      <c r="A97"/>
      <c r="B97" s="3"/>
      <c r="C97" s="3"/>
      <c r="D97" s="3"/>
      <c r="E97" s="16"/>
      <c r="F97" s="16"/>
      <c r="G97" s="12"/>
      <c r="H97" s="12"/>
      <c r="I97" s="12"/>
      <c r="J97" s="12"/>
      <c r="K97" s="1"/>
    </row>
    <row r="98" spans="1:11">
      <c r="A98"/>
      <c r="B98" s="3"/>
      <c r="C98" s="3"/>
      <c r="D98" s="3"/>
      <c r="E98" s="16"/>
      <c r="F98" s="16"/>
      <c r="G98" s="12"/>
      <c r="H98" s="12"/>
      <c r="I98" s="12"/>
      <c r="J98" s="12"/>
      <c r="K98" s="1"/>
    </row>
    <row r="99" spans="1:11">
      <c r="A99"/>
      <c r="B99" s="3"/>
      <c r="C99" s="3"/>
      <c r="D99" s="3"/>
      <c r="E99" s="16"/>
      <c r="F99" s="16"/>
      <c r="G99" s="12"/>
      <c r="H99" s="12"/>
      <c r="I99" s="12"/>
      <c r="J99" s="12"/>
      <c r="K99" s="1"/>
    </row>
    <row r="100" spans="1:11">
      <c r="A100"/>
      <c r="B100" s="3"/>
      <c r="C100" s="3"/>
      <c r="D100" s="3"/>
      <c r="E100" s="14"/>
      <c r="F100" s="14"/>
      <c r="G100" s="12"/>
      <c r="H100" s="12"/>
      <c r="I100" s="12"/>
      <c r="J100" s="12"/>
      <c r="K100" s="1"/>
    </row>
    <row r="101" spans="1:11">
      <c r="A101"/>
      <c r="B101" s="3"/>
      <c r="C101" s="3"/>
      <c r="D101" s="3"/>
      <c r="E101" s="14"/>
      <c r="F101" s="14"/>
      <c r="G101" s="12"/>
      <c r="H101" s="12"/>
      <c r="I101" s="12"/>
      <c r="J101" s="12"/>
      <c r="K101" s="1"/>
    </row>
    <row r="102" spans="1:11">
      <c r="A102"/>
      <c r="B102" s="3"/>
      <c r="C102" s="3"/>
      <c r="D102" s="3"/>
      <c r="E102" s="14"/>
      <c r="F102" s="14"/>
      <c r="G102" s="12"/>
      <c r="H102" s="12"/>
      <c r="I102" s="12"/>
      <c r="J102" s="12"/>
      <c r="K102" s="1"/>
    </row>
    <row r="103" spans="1:11">
      <c r="A103"/>
      <c r="B103" s="3"/>
      <c r="C103" s="3"/>
      <c r="D103" s="3"/>
      <c r="E103" s="14"/>
      <c r="F103" s="14"/>
      <c r="G103" s="12"/>
      <c r="H103" s="12"/>
      <c r="I103" s="12"/>
      <c r="J103" s="12"/>
      <c r="K103" s="1"/>
    </row>
    <row r="104" spans="1:11">
      <c r="A104"/>
      <c r="B104" s="3"/>
      <c r="C104" s="3"/>
      <c r="D104" s="3"/>
      <c r="E104" s="14"/>
      <c r="G104" s="12"/>
      <c r="H104" s="12"/>
      <c r="I104" s="12"/>
      <c r="J104" s="12"/>
      <c r="K104" s="1"/>
    </row>
    <row r="105" spans="1:11">
      <c r="A105"/>
      <c r="B105" s="3"/>
      <c r="C105" s="3"/>
      <c r="D105" s="3"/>
      <c r="E105" s="14"/>
      <c r="G105" s="12"/>
      <c r="H105" s="12"/>
      <c r="I105" s="12"/>
      <c r="J105" s="12"/>
      <c r="K105" s="1"/>
    </row>
    <row r="106" spans="1:11">
      <c r="A106"/>
      <c r="B106" s="3"/>
      <c r="C106" s="3"/>
      <c r="D106" s="3"/>
      <c r="E106" s="14"/>
      <c r="G106" s="12"/>
      <c r="H106" s="12"/>
      <c r="I106" s="12"/>
      <c r="J106" s="12"/>
      <c r="K106" s="1"/>
    </row>
    <row r="107" spans="1:11">
      <c r="A107"/>
      <c r="B107" s="3"/>
      <c r="C107" s="3"/>
      <c r="D107" s="3"/>
      <c r="E107" s="14"/>
      <c r="G107" s="12"/>
      <c r="H107" s="12"/>
      <c r="I107" s="12"/>
      <c r="J107" s="12"/>
      <c r="K107" s="1"/>
    </row>
    <row r="108" spans="1:11">
      <c r="A108"/>
      <c r="B108" s="3"/>
      <c r="C108" s="3"/>
      <c r="D108" s="3"/>
      <c r="E108" s="14"/>
      <c r="F108" s="14"/>
      <c r="G108" s="12"/>
      <c r="H108" s="12"/>
      <c r="I108" s="12"/>
      <c r="J108" s="12"/>
      <c r="K108" s="1"/>
    </row>
    <row r="109" spans="1:11">
      <c r="A109"/>
      <c r="B109" s="3"/>
      <c r="C109" s="3"/>
      <c r="D109" s="3"/>
      <c r="E109" s="14"/>
      <c r="F109" s="14"/>
      <c r="G109" s="12"/>
      <c r="H109" s="12"/>
      <c r="I109" s="12"/>
      <c r="J109" s="12"/>
      <c r="K109" s="1"/>
    </row>
    <row r="110" spans="1:11">
      <c r="A110"/>
      <c r="B110" s="3"/>
      <c r="C110" s="3"/>
      <c r="D110" s="3"/>
      <c r="E110" s="14"/>
      <c r="F110" s="14"/>
      <c r="G110" s="12"/>
      <c r="H110" s="12"/>
      <c r="I110" s="12"/>
      <c r="J110" s="12"/>
      <c r="K110" s="1"/>
    </row>
    <row r="111" spans="1:11">
      <c r="A111"/>
      <c r="B111" s="3"/>
      <c r="C111" s="3"/>
      <c r="D111" s="3"/>
      <c r="E111" s="14"/>
      <c r="F111" s="14"/>
      <c r="G111" s="12"/>
      <c r="H111" s="12"/>
      <c r="I111" s="12"/>
      <c r="J111" s="12"/>
      <c r="K111" s="1"/>
    </row>
    <row r="112" spans="1:11">
      <c r="A112"/>
      <c r="B112" s="3"/>
      <c r="C112" s="3"/>
      <c r="D112" s="3"/>
      <c r="G112" s="12"/>
      <c r="H112" s="12"/>
      <c r="I112" s="12"/>
      <c r="J112" s="12"/>
      <c r="K112" s="1"/>
    </row>
    <row r="113" spans="1:11">
      <c r="A113"/>
      <c r="B113" s="3"/>
      <c r="C113" s="3"/>
      <c r="D113" s="3"/>
      <c r="G113" s="12"/>
      <c r="H113" s="12"/>
      <c r="I113" s="12"/>
      <c r="J113" s="12"/>
      <c r="K113" s="1"/>
    </row>
    <row r="114" spans="1:11">
      <c r="A114"/>
      <c r="B114" s="3"/>
      <c r="C114" s="3"/>
      <c r="D114" s="3"/>
      <c r="G114" s="12"/>
      <c r="H114" s="12"/>
      <c r="I114" s="12"/>
      <c r="J114" s="12"/>
      <c r="K114" s="1"/>
    </row>
    <row r="115" spans="1:11">
      <c r="A115"/>
      <c r="B115" s="3"/>
      <c r="C115" s="3"/>
      <c r="D115" s="3"/>
      <c r="G115" s="12"/>
      <c r="H115" s="12"/>
      <c r="I115" s="12"/>
      <c r="J115" s="12"/>
      <c r="K115" s="1"/>
    </row>
    <row r="116" spans="1:11">
      <c r="A116"/>
      <c r="B116" s="3"/>
      <c r="C116" s="3"/>
      <c r="D116" s="3"/>
      <c r="G116" s="12"/>
      <c r="H116" s="12"/>
      <c r="I116" s="12"/>
      <c r="J116" s="12"/>
      <c r="K116" s="1"/>
    </row>
    <row r="117" spans="1:11">
      <c r="A117"/>
      <c r="B117" s="3"/>
      <c r="C117" s="3"/>
      <c r="D117" s="3"/>
      <c r="G117" s="12"/>
      <c r="H117" s="12"/>
      <c r="I117" s="12"/>
      <c r="J117" s="12"/>
      <c r="K117" s="1"/>
    </row>
    <row r="118" spans="1:11">
      <c r="A118"/>
      <c r="B118" s="3"/>
      <c r="C118" s="3"/>
      <c r="D118" s="3"/>
      <c r="G118" s="12"/>
      <c r="H118" s="12"/>
      <c r="I118" s="12"/>
      <c r="J118" s="12"/>
      <c r="K118" s="1"/>
    </row>
    <row r="119" spans="1:11">
      <c r="A119"/>
      <c r="B119" s="3"/>
      <c r="C119" s="3"/>
      <c r="D119" s="3"/>
      <c r="G119" s="12"/>
      <c r="H119" s="12"/>
      <c r="I119" s="12"/>
      <c r="J119" s="12"/>
      <c r="K119" s="1"/>
    </row>
    <row r="120" spans="1:11">
      <c r="A120"/>
      <c r="B120" s="3"/>
      <c r="C120" s="3"/>
      <c r="D120" s="3"/>
      <c r="E120" s="14"/>
      <c r="F120" s="14"/>
      <c r="G120" s="12"/>
      <c r="H120" s="12"/>
      <c r="I120" s="12"/>
      <c r="J120" s="12"/>
      <c r="K120" s="1"/>
    </row>
    <row r="121" spans="1:11">
      <c r="A121"/>
      <c r="B121" s="3"/>
      <c r="C121" s="3"/>
      <c r="D121" s="3"/>
      <c r="E121" s="14"/>
      <c r="F121" s="14"/>
      <c r="G121" s="12"/>
      <c r="H121" s="12"/>
      <c r="I121" s="12"/>
      <c r="J121" s="12"/>
      <c r="K121" s="1"/>
    </row>
    <row r="122" spans="1:11">
      <c r="A122"/>
      <c r="B122" s="3"/>
      <c r="C122" s="3"/>
      <c r="D122" s="3"/>
      <c r="E122" s="14"/>
      <c r="F122" s="14"/>
      <c r="G122" s="12"/>
      <c r="H122" s="12"/>
      <c r="I122" s="12"/>
      <c r="J122" s="12"/>
      <c r="K122" s="1"/>
    </row>
    <row r="123" spans="1:11">
      <c r="A123"/>
      <c r="B123" s="3"/>
      <c r="C123" s="3"/>
      <c r="D123" s="3"/>
      <c r="E123" s="14"/>
      <c r="F123" s="14"/>
      <c r="G123" s="12"/>
      <c r="H123" s="12"/>
      <c r="I123" s="12"/>
      <c r="J123" s="12"/>
      <c r="K123" s="1"/>
    </row>
    <row r="124" spans="1:11">
      <c r="A124"/>
      <c r="B124" s="3"/>
      <c r="C124" s="3"/>
      <c r="D124" s="3"/>
      <c r="E124" s="14"/>
      <c r="F124" s="14"/>
      <c r="G124" s="12"/>
      <c r="H124" s="12"/>
      <c r="I124" s="12"/>
      <c r="J124" s="12"/>
      <c r="K124" s="1"/>
    </row>
    <row r="125" spans="1:11">
      <c r="A125"/>
      <c r="B125" s="3"/>
      <c r="C125" s="3"/>
      <c r="D125" s="3"/>
      <c r="E125" s="14"/>
      <c r="F125" s="14"/>
      <c r="G125" s="12"/>
      <c r="H125" s="12"/>
      <c r="I125" s="12"/>
      <c r="J125" s="12"/>
      <c r="K125" s="1"/>
    </row>
    <row r="126" spans="1:11">
      <c r="A126"/>
      <c r="B126" s="3"/>
      <c r="C126" s="3"/>
      <c r="D126" s="3"/>
      <c r="E126" s="14"/>
      <c r="F126" s="14"/>
      <c r="G126" s="12"/>
      <c r="H126" s="12"/>
      <c r="I126" s="12"/>
      <c r="J126" s="12"/>
      <c r="K126" s="1"/>
    </row>
    <row r="127" spans="1:11">
      <c r="A127"/>
      <c r="B127" s="3"/>
      <c r="C127" s="3"/>
      <c r="D127" s="3"/>
      <c r="E127" s="14"/>
      <c r="F127" s="14"/>
      <c r="G127" s="12"/>
      <c r="H127" s="12"/>
      <c r="I127" s="12"/>
      <c r="J127" s="12"/>
      <c r="K127" s="1"/>
    </row>
    <row r="128" spans="1:11">
      <c r="A128"/>
      <c r="B128" s="3"/>
      <c r="C128" s="3"/>
      <c r="D128" s="3"/>
      <c r="E128" s="14"/>
      <c r="F128" s="14"/>
      <c r="G128" s="12"/>
      <c r="H128" s="12"/>
      <c r="I128" s="12"/>
      <c r="J128" s="12"/>
      <c r="K128" s="1"/>
    </row>
    <row r="129" spans="1:11">
      <c r="A129"/>
      <c r="B129" s="3"/>
      <c r="C129" s="3"/>
      <c r="D129" s="3"/>
      <c r="E129" s="14"/>
      <c r="F129" s="14"/>
      <c r="G129" s="12"/>
      <c r="H129" s="12"/>
      <c r="I129" s="12"/>
      <c r="J129" s="12"/>
      <c r="K129" s="1"/>
    </row>
    <row r="130" spans="1:11">
      <c r="A130"/>
      <c r="B130" s="3"/>
      <c r="C130" s="3"/>
      <c r="D130" s="3"/>
      <c r="E130" s="14"/>
      <c r="F130" s="14"/>
      <c r="G130" s="12"/>
      <c r="H130" s="12"/>
      <c r="I130" s="12"/>
      <c r="J130" s="12"/>
      <c r="K130" s="1"/>
    </row>
    <row r="131" spans="1:11">
      <c r="A131"/>
      <c r="B131" s="3"/>
      <c r="C131" s="3"/>
      <c r="D131" s="3"/>
      <c r="E131" s="14"/>
      <c r="F131" s="14"/>
      <c r="G131" s="12"/>
      <c r="H131" s="12"/>
      <c r="I131" s="12"/>
      <c r="J131" s="12"/>
      <c r="K131" s="1"/>
    </row>
    <row r="132" spans="1:11">
      <c r="B132" s="3"/>
      <c r="D132" s="3"/>
    </row>
    <row r="133" spans="1:11">
      <c r="B133" s="3"/>
      <c r="D133" s="3"/>
    </row>
    <row r="134" spans="1:11">
      <c r="D134" s="3"/>
    </row>
    <row r="135" spans="1:11">
      <c r="D135" s="3"/>
    </row>
    <row r="136" spans="1:11">
      <c r="D136" s="3"/>
    </row>
  </sheetData>
  <sortState ref="A2:G23">
    <sortCondition ref="F2:F23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Stoof-Leichsenring</dc:creator>
  <cp:lastModifiedBy>Barbara von Hippel</cp:lastModifiedBy>
  <dcterms:created xsi:type="dcterms:W3CDTF">2021-05-27T09:18:38Z</dcterms:created>
  <dcterms:modified xsi:type="dcterms:W3CDTF">2023-01-24T11:51:12Z</dcterms:modified>
</cp:coreProperties>
</file>