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gcabuk\Desktop\test_barbara\"/>
    </mc:Choice>
  </mc:AlternateContent>
  <xr:revisionPtr revIDLastSave="0" documentId="13_ncr:1_{7C8F0EBF-B6F1-47DC-A1F4-6A86FF983A0B}" xr6:coauthVersionLast="36" xr6:coauthVersionMax="36" xr10:uidLastSave="{00000000-0000-0000-0000-000000000000}"/>
  <bookViews>
    <workbookView xWindow="0" yWindow="0" windowWidth="9975" windowHeight="5505" xr2:uid="{45640EBC-96F7-714C-B97F-D74859E0B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8" i="1" l="1"/>
  <c r="K129" i="1"/>
  <c r="K130" i="1"/>
  <c r="K131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72" i="1"/>
  <c r="K71" i="1"/>
  <c r="K70" i="1"/>
  <c r="K69" i="1"/>
  <c r="K68" i="1"/>
  <c r="K67" i="1"/>
  <c r="K66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2" i="1"/>
</calcChain>
</file>

<file path=xl/sharedStrings.xml><?xml version="1.0" encoding="utf-8"?>
<sst xmlns="http://schemas.openxmlformats.org/spreadsheetml/2006/main" count="1157" uniqueCount="221">
  <si>
    <t>merged</t>
  </si>
  <si>
    <t>read_fraction</t>
  </si>
  <si>
    <t xml:space="preserve">age </t>
  </si>
  <si>
    <t>depth</t>
  </si>
  <si>
    <t>lib_id</t>
  </si>
  <si>
    <t>NA</t>
  </si>
  <si>
    <t>samples</t>
  </si>
  <si>
    <t>paired</t>
  </si>
  <si>
    <t>type</t>
  </si>
  <si>
    <t>sample_name</t>
  </si>
  <si>
    <t>site</t>
  </si>
  <si>
    <t>core</t>
  </si>
  <si>
    <t>lib_batch</t>
  </si>
  <si>
    <t>extract</t>
  </si>
  <si>
    <t>sample</t>
  </si>
  <si>
    <t>blank</t>
  </si>
  <si>
    <t>BH193L-2_S19_L001_conf0.8_merged.kraken.report</t>
  </si>
  <si>
    <t>BH193L-2_S19_L001_conf0.8_paired.kraken.report</t>
  </si>
  <si>
    <t>BH193L-2_S19_L002_conf0.8_merged.kraken.report</t>
  </si>
  <si>
    <t>BH193L-2_S19_L002_conf0.8_paired.kraken.report</t>
  </si>
  <si>
    <t>BH193L-3_S20_L001_conf0.8_merged.kraken.report</t>
  </si>
  <si>
    <t>BH193L-3_S20_L001_conf0.8_paired.kraken.report</t>
  </si>
  <si>
    <t>BH193L-3_S20_L002_conf0.8_merged.kraken.report</t>
  </si>
  <si>
    <t>BH193L-3_S20_L002_conf0.8_paired.kraken.report</t>
  </si>
  <si>
    <t>BH193L-8_S32_L001_conf0.8_paired.kraken.report</t>
  </si>
  <si>
    <t>BH193L-8_S32_L002_conf0.8_merged.kraken.report</t>
  </si>
  <si>
    <t>BH193L-8_S32_L002_conf0.8_paired.kraken.report</t>
  </si>
  <si>
    <t>BH194L-1_S25_L001_conf0.8_merged.kraken.report</t>
  </si>
  <si>
    <t>BH194L-1_S25_L001_conf0.8_paired.kraken.report</t>
  </si>
  <si>
    <t>BH194L-1_S25_L002_conf0.8_merged.kraken.report</t>
  </si>
  <si>
    <t>BH194L-1_S25_L002_conf0.8_paired.kraken.report</t>
  </si>
  <si>
    <t>BH194L-2_S26_L001_conf0.8_merged.kraken.report</t>
  </si>
  <si>
    <t>BH194L-2_S26_L001_conf0.8_paired.kraken.report</t>
  </si>
  <si>
    <t>BH194L-2_S26_L002_conf0.8_merged.kraken.report</t>
  </si>
  <si>
    <t>BH194L-2_S26_L002_conf0.8_paired.kraken.report</t>
  </si>
  <si>
    <t>BH194L-4_S16_L001_conf0.8_merged.kraken.report</t>
  </si>
  <si>
    <t>BH194L-4_S16_L001_conf0.8_paired.kraken.report</t>
  </si>
  <si>
    <t>BH194L-4_S16_L002_conf0.8_merged.kraken.report</t>
  </si>
  <si>
    <t>BH194L-4_S16_L002_conf0.8_paired.kraken.report</t>
  </si>
  <si>
    <t>BH194L-7_S17_L001_conf0.8_merged.kraken.report</t>
  </si>
  <si>
    <t>BH194L-7_S17_L001_conf0.8_paired.kraken.report</t>
  </si>
  <si>
    <t>BH194L-7_S17_L002_conf0.8_merged.kraken.report</t>
  </si>
  <si>
    <t>BH194L-7_S17_L002_conf0.8_paired.kraken.report</t>
  </si>
  <si>
    <t>BH194L-8_S30_L001_conf0.8_merged.kraken.report</t>
  </si>
  <si>
    <t>BH194L-8_S30_L001_conf0.8_paired.kraken.report</t>
  </si>
  <si>
    <t>BH194L-8_S30_L002_conf0.8_merged.kraken.report</t>
  </si>
  <si>
    <t>BH194L-8_S30_L002_conf0.8_paired.kraken.report</t>
  </si>
  <si>
    <t>BH195L-2_S18_L001_conf0.8_merged.kraken.report</t>
  </si>
  <si>
    <t>BH195L-2_S18_L001_conf0.8_paired.kraken.report</t>
  </si>
  <si>
    <t>BH195L-2_S18_L002_conf0.8_merged.kraken.report</t>
  </si>
  <si>
    <t>BH195L-2_S18_L002_conf0.8_paired.kraken.report</t>
  </si>
  <si>
    <t>BH195L-7_S31_L001_conf0.8_merged.kraken.report</t>
  </si>
  <si>
    <t>BH195L-7_S31_L001_conf0.8_paired.kraken.report</t>
  </si>
  <si>
    <t>BH195L-7_S31_L002_conf0.8_merged.kraken.report</t>
  </si>
  <si>
    <t>BH195L-7_S31_L002_conf0.8_paired.kraken.report</t>
  </si>
  <si>
    <t>JK081L-10_S10_L001_conf0.8_merged.kraken.report</t>
  </si>
  <si>
    <t>JK081L-10_S10_L001_conf0.8_paired.kraken.report</t>
  </si>
  <si>
    <t>JK081L-10_S10_L002_conf0.8_merged.kraken.report</t>
  </si>
  <si>
    <t>JK081L-10_S10_L002_conf0.8_paired.kraken.report</t>
  </si>
  <si>
    <t>JK081L-11_S11_L001_conf0.8_merged.kraken.report</t>
  </si>
  <si>
    <t>JK081L-11_S11_L001_conf0.8_paired.kraken.report</t>
  </si>
  <si>
    <t>JK081L-11_S11_L002_conf0.8_merged.kraken.report</t>
  </si>
  <si>
    <t>JK081L-11_S11_L002_conf0.8_paired.kraken.report</t>
  </si>
  <si>
    <t>JK081L-12_S12_L001_conf0.8_merged.kraken.report</t>
  </si>
  <si>
    <t>JK081L-12_S12_L001_conf0.8_paired.kraken.report</t>
  </si>
  <si>
    <t>JK081L-12_S12_L002_conf0.8_merged.kraken.report</t>
  </si>
  <si>
    <t>JK081L-12_S12_L002_conf0.8_paired.kraken.report</t>
  </si>
  <si>
    <t>JK081L-13_S13_L001_conf0.8_merged.kraken.report</t>
  </si>
  <si>
    <t>JK081L-13_S13_L001_conf0.8_paired.kraken.report</t>
  </si>
  <si>
    <t>JK081L-13_S13_L002_conf0.8_merged.kraken.report</t>
  </si>
  <si>
    <t>JK081L-13_S13_L002_conf0.8_paired.kraken.report</t>
  </si>
  <si>
    <t>JK081L-14_S14_L001_conf0.8_merged.kraken.report</t>
  </si>
  <si>
    <t>JK081L-14_S14_L001_conf0.8_paired.kraken.report</t>
  </si>
  <si>
    <t>JK081L-14_S14_L002_conf0.8_merged.kraken.report</t>
  </si>
  <si>
    <t>JK081L-14_S14_L002_conf0.8_paired.kraken.report</t>
  </si>
  <si>
    <t>JK081L-15_S15_L001_conf0.8_merged.kraken.report</t>
  </si>
  <si>
    <t>JK081L-15_S15_L001_conf0.8_paired.kraken.report</t>
  </si>
  <si>
    <t>JK081L-15_S15_L002_conf0.8_merged.kraken.report</t>
  </si>
  <si>
    <t>JK081L-15_S15_L002_conf0.8_paired.kraken.report</t>
  </si>
  <si>
    <t>JK081L-1_S1_L001_conf0.8_merged.kraken.report</t>
  </si>
  <si>
    <t>JK081L-1_S1_L001_conf0.8_paired.kraken.report</t>
  </si>
  <si>
    <t>JK081L-1_S1_L002_conf0.8_merged.kraken.report</t>
  </si>
  <si>
    <t>JK081L-1_S1_L002_conf0.8_paired.kraken.report</t>
  </si>
  <si>
    <t>JK081L-2_S2_L001_conf0.8_merged.kraken.report</t>
  </si>
  <si>
    <t>JK081L-2_S2_L001_conf0.8_paired.kraken.report</t>
  </si>
  <si>
    <t>JK081L-2_S2_L002_conf0.8_merged.kraken.report</t>
  </si>
  <si>
    <t>JK081L-2_S2_L002_conf0.8_paired.kraken.report</t>
  </si>
  <si>
    <t>JK081L-3_S3_L001_conf0.8_merged.kraken.report</t>
  </si>
  <si>
    <t>JK081L-3_S3_L001_conf0.8_paired.kraken.report</t>
  </si>
  <si>
    <t>JK081L-3_S3_L002_conf0.8_merged.kraken.report</t>
  </si>
  <si>
    <t>JK081L-3_S3_L002_conf0.8_paired.kraken.report</t>
  </si>
  <si>
    <t>JK081L-4_S4_L001_conf0.8_merged.kraken.report</t>
  </si>
  <si>
    <t>JK081L-4_S4_L001_conf0.8_paired.kraken.report</t>
  </si>
  <si>
    <t>JK081L-4_S4_L002_conf0.8_merged.kraken.report</t>
  </si>
  <si>
    <t>JK081L-4_S4_L002_conf0.8_paired.kraken.report</t>
  </si>
  <si>
    <t>JK081L-5_S5_L001_conf0.8_merged.kraken.report</t>
  </si>
  <si>
    <t>JK081L-5_S5_L002_conf0.8_merged.kraken.report</t>
  </si>
  <si>
    <t>JK081L-5_S5_L002_conf0.8_paired.kraken.report</t>
  </si>
  <si>
    <t>JK081L-6_S6_L001_conf0.8_merged.kraken.report</t>
  </si>
  <si>
    <t>JK081L-6_S6_L001_conf0.8_paired.kraken.report</t>
  </si>
  <si>
    <t>JK081L-6_S6_L002_conf0.8_merged.kraken.report</t>
  </si>
  <si>
    <t>JK081L-6_S6_L002_conf0.8_paired.kraken.report</t>
  </si>
  <si>
    <t>JK081L-7_S7_L001_conf0.8_merged.kraken.report</t>
  </si>
  <si>
    <t>JK081L-7_S7_L001_conf0.8_paired.kraken.report</t>
  </si>
  <si>
    <t>JK081L-7_S7_L002_conf0.8_merged.kraken.report</t>
  </si>
  <si>
    <t>JK081L-7_S7_L002_conf0.8_paired.kraken.report</t>
  </si>
  <si>
    <t>JK081L-8_S8_L001_conf0.8_merged.kraken.report</t>
  </si>
  <si>
    <t>JK081L-8_S8_L001_conf0.8_paired.kraken.report</t>
  </si>
  <si>
    <t>JK081L-8_S8_L002_conf0.8_merged.kraken.report</t>
  </si>
  <si>
    <t>JK081L-8_S8_L002_conf0.8_paired.kraken.report</t>
  </si>
  <si>
    <t>JK081L-9_S9_L001_conf0.8_merged.kraken.report</t>
  </si>
  <si>
    <t>JK081L-9_S9_L001_conf0.8_paired.kraken.report</t>
  </si>
  <si>
    <t>JK081L-9_S9_L002_conf0.8_merged.kraken.report</t>
  </si>
  <si>
    <t>JK081L-9_S9_L002_conf0.8_paired.kraken.report</t>
  </si>
  <si>
    <t>JK105L-6_S21_L001_conf0.8_merged.kraken.report</t>
  </si>
  <si>
    <t>JK105L-6_S21_L001_conf0.8_paired.kraken.report</t>
  </si>
  <si>
    <t>JK105L-6_S21_L002_conf0.8_merged.kraken.report</t>
  </si>
  <si>
    <t>JK105L-6_S21_L002_conf0.8_paired.kraken.report</t>
  </si>
  <si>
    <t>JK109L-4_S22_L001_conf0.8_merged.kraken.report</t>
  </si>
  <si>
    <t>JK109L-4_S22_L001_conf0.8_paired.kraken.report</t>
  </si>
  <si>
    <t>JK109L-4_S22_L002_conf0.8_merged.kraken.report</t>
  </si>
  <si>
    <t>JK109L-4_S22_L002_conf0.8_paired.kraken.report</t>
  </si>
  <si>
    <t>JK109L-8_S33_L001_conf0.8_merged.kraken.report</t>
  </si>
  <si>
    <t>JK109L-8_S33_L001_conf0.8_paired.kraken.report</t>
  </si>
  <si>
    <t>JK109L-8_S33_L002_conf0.8_merged.kraken.report</t>
  </si>
  <si>
    <t>JK109L-8_S33_L002_conf0.8_paired.kraken.report</t>
  </si>
  <si>
    <t>JK115L-2_S24_L001_conf0.8_merged.kraken.report</t>
  </si>
  <si>
    <t>JK115L-2_S24_L001_conf0.8_paired.kraken.report</t>
  </si>
  <si>
    <t>JK115L-2_S24_L002_conf0.8_merged.kraken.report</t>
  </si>
  <si>
    <t>JK115L-2_S24_L002_conf0.8_paired.kraken.report</t>
  </si>
  <si>
    <t>JK115L-4_S23_L001_conf0.8_merged.kraken.report</t>
  </si>
  <si>
    <t>JK115L-4_S23_L001_conf0.8_paired.kraken.report</t>
  </si>
  <si>
    <t>JK115L-4_S23_L002_conf0.8_merged.kraken.report</t>
  </si>
  <si>
    <t>JK115L-4_S23_L002_conf0.8_paired.kraken.report</t>
  </si>
  <si>
    <t>JK115L-5_S27_L001_conf0.8_merged.kraken.report</t>
  </si>
  <si>
    <t>JK115L-5_S27_L001_conf0.8_paired.kraken.report</t>
  </si>
  <si>
    <t>JK115L-5_S27_L002_conf0.8_merged.kraken.report</t>
  </si>
  <si>
    <t>JK115L-5_S27_L002_conf0.8_paired.kraken.report</t>
  </si>
  <si>
    <t>JK115L-8_S34_L001_conf0.8_merged.kraken.report</t>
  </si>
  <si>
    <t>JK115L-8_S34_L001_conf0.8_paired.kraken.report</t>
  </si>
  <si>
    <t>JK115L-8_S34_L002_conf0.8_merged.kraken.report</t>
  </si>
  <si>
    <t>JK115L-8_S34_L002_conf0.8_paired.kraken.report</t>
  </si>
  <si>
    <t>Undetermined_S0_L001_conf0.8_merged.kraken.report</t>
  </si>
  <si>
    <t>Undetermined_S0_L001_conf0.8_paired.kraken.report</t>
  </si>
  <si>
    <t>Undetermined_S0_L002_conf0.8_merged.kraken.report</t>
  </si>
  <si>
    <t>Undetermined_S0_L002_conf0.8_paired.kraken.report</t>
  </si>
  <si>
    <t>Lama</t>
  </si>
  <si>
    <t>PG1341</t>
  </si>
  <si>
    <t>BH193L-2</t>
  </si>
  <si>
    <t>BH193L-3</t>
  </si>
  <si>
    <t>BH193L-8</t>
  </si>
  <si>
    <t>BH194L-1</t>
  </si>
  <si>
    <t>BH194L-2</t>
  </si>
  <si>
    <t>BH194L-4</t>
  </si>
  <si>
    <t>BH194L-7</t>
  </si>
  <si>
    <t>BH194L-8</t>
  </si>
  <si>
    <t>BH195L-2</t>
  </si>
  <si>
    <t>BH195L-7</t>
  </si>
  <si>
    <t>JK081L-10</t>
  </si>
  <si>
    <t>JK081L-11</t>
  </si>
  <si>
    <t>JK081L-12</t>
  </si>
  <si>
    <t>JK081L-13</t>
  </si>
  <si>
    <t>JK081L-14</t>
  </si>
  <si>
    <t>JK081L-15</t>
  </si>
  <si>
    <t>JK081L-1</t>
  </si>
  <si>
    <t>JK081L-2</t>
  </si>
  <si>
    <t>JK081L-3</t>
  </si>
  <si>
    <t>JK081L-4</t>
  </si>
  <si>
    <t>JK081L-5</t>
  </si>
  <si>
    <t>JK081L-6</t>
  </si>
  <si>
    <t>JK081L-7</t>
  </si>
  <si>
    <t>JK081L-8</t>
  </si>
  <si>
    <t>JK081L-9</t>
  </si>
  <si>
    <t>JK105L-6</t>
  </si>
  <si>
    <t>JK109L-4</t>
  </si>
  <si>
    <t>JK109L-8</t>
  </si>
  <si>
    <t>JK115L-2</t>
  </si>
  <si>
    <t>JK115L-4</t>
  </si>
  <si>
    <t>JK115L-5</t>
  </si>
  <si>
    <t>JK115L-8</t>
  </si>
  <si>
    <t>BH193L</t>
  </si>
  <si>
    <t>BH194L</t>
  </si>
  <si>
    <t>BH195L</t>
  </si>
  <si>
    <t>JK081L</t>
  </si>
  <si>
    <t>JK105L</t>
  </si>
  <si>
    <t>JK109L</t>
  </si>
  <si>
    <t>JK115L</t>
  </si>
  <si>
    <t>366,5</t>
  </si>
  <si>
    <t>457,5</t>
  </si>
  <si>
    <t>EBH030</t>
  </si>
  <si>
    <t>library blank</t>
  </si>
  <si>
    <t>EBH034</t>
  </si>
  <si>
    <t>EBH033</t>
  </si>
  <si>
    <t>EBH031</t>
  </si>
  <si>
    <t>EBH032</t>
  </si>
  <si>
    <t>245,5</t>
  </si>
  <si>
    <t>304,5</t>
  </si>
  <si>
    <t>EBH002</t>
  </si>
  <si>
    <t>EBH003</t>
  </si>
  <si>
    <t>EBH008</t>
  </si>
  <si>
    <t>EBH009</t>
  </si>
  <si>
    <t>27,5</t>
  </si>
  <si>
    <t>EBH012</t>
  </si>
  <si>
    <t>80,5</t>
  </si>
  <si>
    <t>EBH015</t>
  </si>
  <si>
    <t>120,5</t>
  </si>
  <si>
    <t>EBH017</t>
  </si>
  <si>
    <t>ELS123</t>
  </si>
  <si>
    <t>ELS122</t>
  </si>
  <si>
    <t>ELS117</t>
  </si>
  <si>
    <t>ELS121</t>
  </si>
  <si>
    <t>ELS119/129</t>
  </si>
  <si>
    <t>EBH021</t>
  </si>
  <si>
    <t>EBH022</t>
  </si>
  <si>
    <t>EBH023</t>
  </si>
  <si>
    <t>EBH024</t>
  </si>
  <si>
    <t>EBH025</t>
  </si>
  <si>
    <t>EBH026</t>
  </si>
  <si>
    <t>EBH027</t>
  </si>
  <si>
    <t>EBH028</t>
  </si>
  <si>
    <t>EBH029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</si>
</sst>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1"/>
      <color theme="1"/>
      <name val="Calibri"/>
      <family val="2"/>
      <charset val="1"/>
      <scheme val="minor"/>
    </font>
    <font>
      <sz val="10"/>
      <name val="Verdana"/>
      <family val="2"/>
    </font>
    <font>
      <sz val="12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4" fillId="0" borderId="0">
      <alignment vertical="center"/>
    </xf>
    <xf numFmtId="0" fontId="2" fillId="0" borderId="0"/>
    <xf numFmtId="0" fontId="3" fillId="0" borderId="0"/>
    <xf numFmtId="0" fontId="5" fillId="0" borderId="0"/>
    <xf numFmtId="0" fontId="5" fillId="0" borderId="0"/>
    <xf numFmtId="0" fontId="6" fillId="0" borderId="0"/>
  </cellStyleXfs>
  <cellXfs count="17">
    <xf numFmtId="0" fontId="0" fillId="0" borderId="0" xfId="0"/>
    <xf numFmtId="0" fontId="0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0" fontId="8" fillId="0" borderId="0" xfId="4" applyFont="1" applyFill="1" applyBorder="1" applyAlignment="1">
      <alignment horizontal="center" vertical="center"/>
    </xf>
    <xf numFmtId="0" fontId="8" fillId="0" borderId="0" xfId="3" applyFont="1" applyFill="1" applyBorder="1" applyAlignment="1">
      <alignment horizontal="center"/>
    </xf>
    <xf numFmtId="0" fontId="8" fillId="0" borderId="0" xfId="1" applyFont="1" applyFill="1" applyBorder="1" applyAlignment="1">
      <alignment horizontal="center" vertical="center" wrapText="1"/>
    </xf>
    <xf numFmtId="0" fontId="8" fillId="0" borderId="0" xfId="4" applyFont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/>
    <xf numFmtId="2" fontId="0" fillId="0" borderId="0" xfId="0" applyNumberFormat="1" applyFont="1" applyFill="1"/>
    <xf numFmtId="0" fontId="1" fillId="0" borderId="0" xfId="0" applyFont="1" applyAlignment="1">
      <alignment horizontal="left"/>
    </xf>
  </cellXfs>
  <cellStyles count="7">
    <cellStyle name="Normal" xfId="0" builtinId="0"/>
    <cellStyle name="Normal 2" xfId="4" xr:uid="{E37D8804-B4F9-4227-8EF8-B62AEAEC7804}"/>
    <cellStyle name="Normal 2 2" xfId="6" xr:uid="{0207771D-83BD-4C9B-94B0-FCD4561B3AB3}"/>
    <cellStyle name="Normal 3" xfId="5" xr:uid="{546BCE88-C636-48E6-94C4-6BB8003472C9}"/>
    <cellStyle name="Standard 2" xfId="3" xr:uid="{A4266920-0959-45EC-BF0F-0F7F8ACF68E8}"/>
    <cellStyle name="Standard 3" xfId="1" xr:uid="{675C0F14-5C69-43E9-B919-440F90B09215}"/>
    <cellStyle name="Standard 3 3" xfId="2" xr:uid="{74F19BDC-80EC-4B65-95C0-293EB3E714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4C10-E237-B44C-AB2E-0FCFB39789BC}">
  <dimension ref="A1:N136"/>
  <sheetViews>
    <sheetView tabSelected="1" workbookViewId="0">
      <selection activeCell="F116" sqref="F116:F119"/>
    </sheetView>
  </sheetViews>
  <sheetFormatPr defaultColWidth="10.875" defaultRowHeight="15.75"/>
  <cols>
    <col min="1" max="1" width="60.375" style="4" customWidth="1"/>
    <col min="2" max="2" width="16.875" style="5" customWidth="1"/>
    <col min="3" max="4" width="10.875" style="5"/>
    <col min="5" max="6" width="10.875" style="14"/>
    <col min="7" max="8" width="10.875" style="5"/>
    <col min="9" max="9" width="11.875" style="5" customWidth="1"/>
    <col min="10" max="10" width="10.875" style="5"/>
    <col min="11" max="11" width="56.375" style="5" customWidth="1"/>
    <col min="12" max="16384" width="10.875" style="5"/>
  </cols>
  <sheetData>
    <row r="1" spans="1:14">
      <c r="A1" s="3" t="s">
        <v>6</v>
      </c>
      <c r="B1" s="3" t="s">
        <v>1</v>
      </c>
      <c r="C1" s="3" t="s">
        <v>10</v>
      </c>
      <c r="D1" s="3" t="s">
        <v>11</v>
      </c>
      <c r="E1" s="13" t="s">
        <v>3</v>
      </c>
      <c r="F1" s="13" t="s">
        <v>2</v>
      </c>
      <c r="G1" s="3" t="s">
        <v>4</v>
      </c>
      <c r="H1" s="1" t="s">
        <v>12</v>
      </c>
      <c r="I1" s="2" t="s">
        <v>13</v>
      </c>
      <c r="J1" s="3" t="s">
        <v>8</v>
      </c>
      <c r="K1" s="4" t="s">
        <v>9</v>
      </c>
    </row>
    <row r="2" spans="1:14">
      <c r="A2" t="s">
        <v>16</v>
      </c>
      <c r="B2" s="3" t="s">
        <v>0</v>
      </c>
      <c r="C2" s="3" t="s">
        <v>146</v>
      </c>
      <c r="D2" s="3" t="s">
        <v>147</v>
      </c>
      <c r="E2" s="15" t="s">
        <v>195</v>
      </c>
      <c r="F2" s="16">
        <v>6890</v>
      </c>
      <c r="G2" s="3" t="s">
        <v>148</v>
      </c>
      <c r="H2" s="3" t="s">
        <v>180</v>
      </c>
      <c r="I2" s="3" t="s">
        <v>197</v>
      </c>
      <c r="J2" s="3" t="s">
        <v>14</v>
      </c>
      <c r="K2" s="1" t="str">
        <f t="shared" ref="K2:K33" si="0">CONCATENATE(G2,"_",H2,"_",I2,"_",D2,"_",E2,"_",F2,"_",J2)</f>
        <v>BH193L-2_BH193L_EBH002_PG1341_245,5_6890_sample</v>
      </c>
      <c r="M2" s="6"/>
      <c r="N2" s="7"/>
    </row>
    <row r="3" spans="1:14">
      <c r="A3" t="s">
        <v>17</v>
      </c>
      <c r="B3" s="3" t="s">
        <v>7</v>
      </c>
      <c r="C3" s="3" t="s">
        <v>146</v>
      </c>
      <c r="D3" s="3" t="s">
        <v>147</v>
      </c>
      <c r="E3" s="15" t="s">
        <v>195</v>
      </c>
      <c r="F3" s="16">
        <v>6890</v>
      </c>
      <c r="G3" s="3" t="s">
        <v>148</v>
      </c>
      <c r="H3" s="3" t="s">
        <v>180</v>
      </c>
      <c r="I3" s="3" t="s">
        <v>197</v>
      </c>
      <c r="J3" s="3" t="s">
        <v>14</v>
      </c>
      <c r="K3" s="1" t="str">
        <f t="shared" si="0"/>
        <v>BH193L-2_BH193L_EBH002_PG1341_245,5_6890_sample</v>
      </c>
      <c r="M3" s="6"/>
      <c r="N3" s="7"/>
    </row>
    <row r="4" spans="1:14">
      <c r="A4" t="s">
        <v>18</v>
      </c>
      <c r="B4" s="3" t="s">
        <v>0</v>
      </c>
      <c r="C4" s="3" t="s">
        <v>146</v>
      </c>
      <c r="D4" s="3" t="s">
        <v>147</v>
      </c>
      <c r="E4" s="15" t="s">
        <v>195</v>
      </c>
      <c r="F4" s="16">
        <v>6890</v>
      </c>
      <c r="G4" s="3" t="s">
        <v>148</v>
      </c>
      <c r="H4" s="3" t="s">
        <v>180</v>
      </c>
      <c r="I4" s="3" t="s">
        <v>197</v>
      </c>
      <c r="J4" s="3" t="s">
        <v>14</v>
      </c>
      <c r="K4" s="1" t="str">
        <f t="shared" si="0"/>
        <v>BH193L-2_BH193L_EBH002_PG1341_245,5_6890_sample</v>
      </c>
      <c r="M4" s="6"/>
      <c r="N4" s="7"/>
    </row>
    <row r="5" spans="1:14">
      <c r="A5" t="s">
        <v>19</v>
      </c>
      <c r="B5" s="3" t="s">
        <v>7</v>
      </c>
      <c r="C5" s="3" t="s">
        <v>146</v>
      </c>
      <c r="D5" s="3" t="s">
        <v>147</v>
      </c>
      <c r="E5" s="15" t="s">
        <v>195</v>
      </c>
      <c r="F5" s="16">
        <v>6890</v>
      </c>
      <c r="G5" s="3" t="s">
        <v>148</v>
      </c>
      <c r="H5" s="3" t="s">
        <v>180</v>
      </c>
      <c r="I5" s="3" t="s">
        <v>197</v>
      </c>
      <c r="J5" s="3" t="s">
        <v>14</v>
      </c>
      <c r="K5" s="1" t="str">
        <f t="shared" si="0"/>
        <v>BH193L-2_BH193L_EBH002_PG1341_245,5_6890_sample</v>
      </c>
      <c r="M5" s="6"/>
      <c r="N5" s="7"/>
    </row>
    <row r="6" spans="1:14">
      <c r="A6" t="s">
        <v>20</v>
      </c>
      <c r="B6" s="3" t="s">
        <v>0</v>
      </c>
      <c r="C6" s="3" t="s">
        <v>146</v>
      </c>
      <c r="D6" s="3" t="s">
        <v>147</v>
      </c>
      <c r="E6" s="15" t="s">
        <v>196</v>
      </c>
      <c r="F6" s="16">
        <v>8513</v>
      </c>
      <c r="G6" s="3" t="s">
        <v>149</v>
      </c>
      <c r="H6" s="3" t="s">
        <v>180</v>
      </c>
      <c r="I6" s="3" t="s">
        <v>198</v>
      </c>
      <c r="J6" s="3" t="s">
        <v>14</v>
      </c>
      <c r="K6" s="1" t="str">
        <f t="shared" si="0"/>
        <v>BH193L-3_BH193L_EBH003_PG1341_304,5_8513_sample</v>
      </c>
      <c r="M6" s="6"/>
      <c r="N6" s="7"/>
    </row>
    <row r="7" spans="1:14">
      <c r="A7" t="s">
        <v>21</v>
      </c>
      <c r="B7" s="3" t="s">
        <v>7</v>
      </c>
      <c r="C7" s="3" t="s">
        <v>146</v>
      </c>
      <c r="D7" s="3" t="s">
        <v>147</v>
      </c>
      <c r="E7" s="15" t="s">
        <v>196</v>
      </c>
      <c r="F7" s="16">
        <v>8513</v>
      </c>
      <c r="G7" s="3" t="s">
        <v>149</v>
      </c>
      <c r="H7" s="3" t="s">
        <v>180</v>
      </c>
      <c r="I7" s="3" t="s">
        <v>198</v>
      </c>
      <c r="J7" s="3" t="s">
        <v>14</v>
      </c>
      <c r="K7" s="1" t="str">
        <f t="shared" si="0"/>
        <v>BH193L-3_BH193L_EBH003_PG1341_304,5_8513_sample</v>
      </c>
      <c r="M7" s="6"/>
      <c r="N7" s="7"/>
    </row>
    <row r="8" spans="1:14">
      <c r="A8" t="s">
        <v>22</v>
      </c>
      <c r="B8" s="3" t="s">
        <v>0</v>
      </c>
      <c r="C8" s="3" t="s">
        <v>146</v>
      </c>
      <c r="D8" s="3" t="s">
        <v>147</v>
      </c>
      <c r="E8" s="15" t="s">
        <v>196</v>
      </c>
      <c r="F8" s="16">
        <v>8513</v>
      </c>
      <c r="G8" s="3" t="s">
        <v>149</v>
      </c>
      <c r="H8" s="3" t="s">
        <v>180</v>
      </c>
      <c r="I8" s="3" t="s">
        <v>198</v>
      </c>
      <c r="J8" s="3" t="s">
        <v>14</v>
      </c>
      <c r="K8" s="1" t="str">
        <f t="shared" si="0"/>
        <v>BH193L-3_BH193L_EBH003_PG1341_304,5_8513_sample</v>
      </c>
      <c r="M8" s="6"/>
      <c r="N8" s="7"/>
    </row>
    <row r="9" spans="1:14">
      <c r="A9" t="s">
        <v>23</v>
      </c>
      <c r="B9" s="3" t="s">
        <v>7</v>
      </c>
      <c r="C9" s="3" t="s">
        <v>146</v>
      </c>
      <c r="D9" s="3" t="s">
        <v>147</v>
      </c>
      <c r="E9" s="15" t="s">
        <v>196</v>
      </c>
      <c r="F9" s="16">
        <v>8513</v>
      </c>
      <c r="G9" s="3" t="s">
        <v>149</v>
      </c>
      <c r="H9" s="3" t="s">
        <v>180</v>
      </c>
      <c r="I9" s="3" t="s">
        <v>198</v>
      </c>
      <c r="J9" s="3" t="s">
        <v>14</v>
      </c>
      <c r="K9" s="1" t="str">
        <f t="shared" si="0"/>
        <v>BH193L-3_BH193L_EBH003_PG1341_304,5_8513_sample</v>
      </c>
      <c r="M9" s="6"/>
      <c r="N9" s="8"/>
    </row>
    <row r="10" spans="1:14">
      <c r="A10" t="s">
        <v>24</v>
      </c>
      <c r="B10" s="3" t="s">
        <v>0</v>
      </c>
      <c r="C10" s="3" t="s">
        <v>146</v>
      </c>
      <c r="D10" s="3" t="s">
        <v>147</v>
      </c>
      <c r="E10" s="13" t="s">
        <v>5</v>
      </c>
      <c r="F10" s="13" t="s">
        <v>5</v>
      </c>
      <c r="G10" s="3" t="s">
        <v>150</v>
      </c>
      <c r="H10" s="3" t="s">
        <v>180</v>
      </c>
      <c r="I10" s="3" t="s">
        <v>190</v>
      </c>
      <c r="J10" s="3" t="s">
        <v>15</v>
      </c>
      <c r="K10" s="1" t="str">
        <f t="shared" si="0"/>
        <v>BH193L-8_BH193L_library blank_PG1341_NA_NA_blank</v>
      </c>
      <c r="M10" s="9"/>
      <c r="N10" s="10"/>
    </row>
    <row r="11" spans="1:14">
      <c r="A11" t="s">
        <v>25</v>
      </c>
      <c r="B11" s="3" t="s">
        <v>7</v>
      </c>
      <c r="C11" s="3" t="s">
        <v>146</v>
      </c>
      <c r="D11" s="3" t="s">
        <v>147</v>
      </c>
      <c r="E11" s="13" t="s">
        <v>5</v>
      </c>
      <c r="F11" s="13" t="s">
        <v>5</v>
      </c>
      <c r="G11" s="3" t="s">
        <v>150</v>
      </c>
      <c r="H11" s="3" t="s">
        <v>180</v>
      </c>
      <c r="I11" s="3" t="s">
        <v>190</v>
      </c>
      <c r="J11" s="3" t="s">
        <v>15</v>
      </c>
      <c r="K11" s="1" t="str">
        <f t="shared" si="0"/>
        <v>BH193L-8_BH193L_library blank_PG1341_NA_NA_blank</v>
      </c>
      <c r="M11" s="9"/>
      <c r="N11" s="10"/>
    </row>
    <row r="12" spans="1:14">
      <c r="A12" t="s">
        <v>26</v>
      </c>
      <c r="B12" s="3" t="s">
        <v>0</v>
      </c>
      <c r="C12" s="3" t="s">
        <v>146</v>
      </c>
      <c r="D12" s="3" t="s">
        <v>147</v>
      </c>
      <c r="E12" s="13" t="s">
        <v>5</v>
      </c>
      <c r="F12" s="13" t="s">
        <v>5</v>
      </c>
      <c r="G12" s="3" t="s">
        <v>150</v>
      </c>
      <c r="H12" s="3" t="s">
        <v>180</v>
      </c>
      <c r="I12" s="3" t="s">
        <v>190</v>
      </c>
      <c r="J12" s="3" t="s">
        <v>15</v>
      </c>
      <c r="K12" s="1" t="str">
        <f t="shared" si="0"/>
        <v>BH193L-8_BH193L_library blank_PG1341_NA_NA_blank</v>
      </c>
      <c r="M12" s="9"/>
      <c r="N12" s="10"/>
    </row>
    <row r="13" spans="1:14">
      <c r="A13" t="s">
        <v>27</v>
      </c>
      <c r="B13" s="3" t="s">
        <v>7</v>
      </c>
      <c r="C13" s="3" t="s">
        <v>146</v>
      </c>
      <c r="D13" s="3" t="s">
        <v>147</v>
      </c>
      <c r="E13" s="15">
        <v>1369.5</v>
      </c>
      <c r="F13" s="16">
        <v>20059</v>
      </c>
      <c r="G13" s="3" t="s">
        <v>151</v>
      </c>
      <c r="H13" s="3" t="s">
        <v>181</v>
      </c>
      <c r="I13" s="3" t="s">
        <v>199</v>
      </c>
      <c r="J13" s="3" t="s">
        <v>14</v>
      </c>
      <c r="K13" s="1" t="str">
        <f t="shared" si="0"/>
        <v>BH194L-1_BH194L_EBH008_PG1341_1369.5_20059_sample</v>
      </c>
      <c r="M13" s="9"/>
      <c r="N13" s="10"/>
    </row>
    <row r="14" spans="1:14">
      <c r="A14" t="s">
        <v>28</v>
      </c>
      <c r="B14" s="3" t="s">
        <v>0</v>
      </c>
      <c r="C14" s="3" t="s">
        <v>146</v>
      </c>
      <c r="D14" s="3" t="s">
        <v>147</v>
      </c>
      <c r="E14" s="15">
        <v>1369.5</v>
      </c>
      <c r="F14" s="16">
        <v>20059</v>
      </c>
      <c r="G14" s="3" t="s">
        <v>151</v>
      </c>
      <c r="H14" s="3" t="s">
        <v>181</v>
      </c>
      <c r="I14" s="3" t="s">
        <v>199</v>
      </c>
      <c r="J14" s="3" t="s">
        <v>14</v>
      </c>
      <c r="K14" s="1" t="str">
        <f t="shared" si="0"/>
        <v>BH194L-1_BH194L_EBH008_PG1341_1369.5_20059_sample</v>
      </c>
      <c r="M14" s="6"/>
      <c r="N14" s="10"/>
    </row>
    <row r="15" spans="1:14">
      <c r="A15" t="s">
        <v>29</v>
      </c>
      <c r="B15" s="3" t="s">
        <v>7</v>
      </c>
      <c r="C15" s="3" t="s">
        <v>146</v>
      </c>
      <c r="D15" s="3" t="s">
        <v>147</v>
      </c>
      <c r="E15" s="15">
        <v>1369.5</v>
      </c>
      <c r="F15" s="16">
        <v>20059</v>
      </c>
      <c r="G15" s="3" t="s">
        <v>151</v>
      </c>
      <c r="H15" s="3" t="s">
        <v>181</v>
      </c>
      <c r="I15" s="3" t="s">
        <v>199</v>
      </c>
      <c r="J15" s="3" t="s">
        <v>14</v>
      </c>
      <c r="K15" s="1" t="str">
        <f t="shared" si="0"/>
        <v>BH194L-1_BH194L_EBH008_PG1341_1369.5_20059_sample</v>
      </c>
      <c r="M15" s="6"/>
      <c r="N15" s="10"/>
    </row>
    <row r="16" spans="1:14">
      <c r="A16" t="s">
        <v>30</v>
      </c>
      <c r="B16" s="3" t="s">
        <v>0</v>
      </c>
      <c r="C16" s="3" t="s">
        <v>146</v>
      </c>
      <c r="D16" s="3" t="s">
        <v>147</v>
      </c>
      <c r="E16" s="15">
        <v>1369.5</v>
      </c>
      <c r="F16" s="16">
        <v>20059</v>
      </c>
      <c r="G16" s="3" t="s">
        <v>151</v>
      </c>
      <c r="H16" s="3" t="s">
        <v>181</v>
      </c>
      <c r="I16" s="3" t="s">
        <v>199</v>
      </c>
      <c r="J16" s="3" t="s">
        <v>14</v>
      </c>
      <c r="K16" s="1" t="str">
        <f t="shared" si="0"/>
        <v>BH194L-1_BH194L_EBH008_PG1341_1369.5_20059_sample</v>
      </c>
      <c r="M16" s="6"/>
      <c r="N16" s="11"/>
    </row>
    <row r="17" spans="1:14">
      <c r="A17" t="s">
        <v>31</v>
      </c>
      <c r="B17" s="3" t="s">
        <v>7</v>
      </c>
      <c r="C17" s="3" t="s">
        <v>146</v>
      </c>
      <c r="D17" s="3" t="s">
        <v>147</v>
      </c>
      <c r="E17" s="15">
        <v>1629.5</v>
      </c>
      <c r="F17" s="16">
        <v>22518</v>
      </c>
      <c r="G17" s="3" t="s">
        <v>152</v>
      </c>
      <c r="H17" s="3" t="s">
        <v>181</v>
      </c>
      <c r="I17" s="3" t="s">
        <v>200</v>
      </c>
      <c r="J17" s="3" t="s">
        <v>14</v>
      </c>
      <c r="K17" s="1" t="str">
        <f t="shared" si="0"/>
        <v>BH194L-2_BH194L_EBH009_PG1341_1629.5_22518_sample</v>
      </c>
      <c r="M17" s="6"/>
      <c r="N17" s="8"/>
    </row>
    <row r="18" spans="1:14">
      <c r="A18" t="s">
        <v>32</v>
      </c>
      <c r="B18" s="3" t="s">
        <v>0</v>
      </c>
      <c r="C18" s="3" t="s">
        <v>146</v>
      </c>
      <c r="D18" s="3" t="s">
        <v>147</v>
      </c>
      <c r="E18" s="15">
        <v>1629.5</v>
      </c>
      <c r="F18" s="16">
        <v>22518</v>
      </c>
      <c r="G18" s="3" t="s">
        <v>152</v>
      </c>
      <c r="H18" s="3" t="s">
        <v>181</v>
      </c>
      <c r="I18" s="3" t="s">
        <v>200</v>
      </c>
      <c r="J18" s="3" t="s">
        <v>14</v>
      </c>
      <c r="K18" s="1" t="str">
        <f t="shared" si="0"/>
        <v>BH194L-2_BH194L_EBH009_PG1341_1629.5_22518_sample</v>
      </c>
      <c r="M18" s="6"/>
      <c r="N18" s="10"/>
    </row>
    <row r="19" spans="1:14">
      <c r="A19" t="s">
        <v>33</v>
      </c>
      <c r="B19" s="3" t="s">
        <v>7</v>
      </c>
      <c r="C19" s="3" t="s">
        <v>146</v>
      </c>
      <c r="D19" s="3" t="s">
        <v>147</v>
      </c>
      <c r="E19" s="15">
        <v>1629.5</v>
      </c>
      <c r="F19" s="16">
        <v>22518</v>
      </c>
      <c r="G19" s="3" t="s">
        <v>152</v>
      </c>
      <c r="H19" s="3" t="s">
        <v>181</v>
      </c>
      <c r="I19" s="3" t="s">
        <v>200</v>
      </c>
      <c r="J19" s="3" t="s">
        <v>14</v>
      </c>
      <c r="K19" s="1" t="str">
        <f t="shared" si="0"/>
        <v>BH194L-2_BH194L_EBH009_PG1341_1629.5_22518_sample</v>
      </c>
      <c r="M19" s="6"/>
      <c r="N19" s="10"/>
    </row>
    <row r="20" spans="1:14">
      <c r="A20" t="s">
        <v>34</v>
      </c>
      <c r="B20" s="3" t="s">
        <v>0</v>
      </c>
      <c r="C20" s="3" t="s">
        <v>146</v>
      </c>
      <c r="D20" s="3" t="s">
        <v>147</v>
      </c>
      <c r="E20" s="15">
        <v>1629.5</v>
      </c>
      <c r="F20" s="16">
        <v>22518</v>
      </c>
      <c r="G20" s="3" t="s">
        <v>152</v>
      </c>
      <c r="H20" s="3" t="s">
        <v>181</v>
      </c>
      <c r="I20" s="3" t="s">
        <v>200</v>
      </c>
      <c r="J20" s="3" t="s">
        <v>14</v>
      </c>
      <c r="K20" s="1" t="str">
        <f t="shared" si="0"/>
        <v>BH194L-2_BH194L_EBH009_PG1341_1629.5_22518_sample</v>
      </c>
      <c r="M20" s="6"/>
      <c r="N20" s="10"/>
    </row>
    <row r="21" spans="1:14">
      <c r="A21" t="s">
        <v>35</v>
      </c>
      <c r="B21" s="3" t="s">
        <v>7</v>
      </c>
      <c r="C21" s="3" t="s">
        <v>146</v>
      </c>
      <c r="D21" s="3" t="s">
        <v>147</v>
      </c>
      <c r="E21" s="15" t="s">
        <v>201</v>
      </c>
      <c r="F21" s="16">
        <v>264</v>
      </c>
      <c r="G21" s="3" t="s">
        <v>153</v>
      </c>
      <c r="H21" s="3" t="s">
        <v>181</v>
      </c>
      <c r="I21" s="3" t="s">
        <v>202</v>
      </c>
      <c r="J21" s="3" t="s">
        <v>14</v>
      </c>
      <c r="K21" s="1" t="str">
        <f t="shared" si="0"/>
        <v>BH194L-4_BH194L_EBH012_PG1341_27,5_264_sample</v>
      </c>
      <c r="M21" s="6"/>
      <c r="N21" s="10"/>
    </row>
    <row r="22" spans="1:14">
      <c r="A22" t="s">
        <v>36</v>
      </c>
      <c r="B22" s="3" t="s">
        <v>0</v>
      </c>
      <c r="C22" s="3" t="s">
        <v>146</v>
      </c>
      <c r="D22" s="3" t="s">
        <v>147</v>
      </c>
      <c r="E22" s="15" t="s">
        <v>201</v>
      </c>
      <c r="F22" s="16">
        <v>264</v>
      </c>
      <c r="G22" s="3" t="s">
        <v>153</v>
      </c>
      <c r="H22" s="3" t="s">
        <v>181</v>
      </c>
      <c r="I22" s="3" t="s">
        <v>202</v>
      </c>
      <c r="J22" s="3" t="s">
        <v>14</v>
      </c>
      <c r="K22" s="1" t="str">
        <f t="shared" si="0"/>
        <v>BH194L-4_BH194L_EBH012_PG1341_27,5_264_sample</v>
      </c>
      <c r="M22" s="6"/>
      <c r="N22" s="10"/>
    </row>
    <row r="23" spans="1:14">
      <c r="A23" t="s">
        <v>37</v>
      </c>
      <c r="B23" s="3" t="s">
        <v>7</v>
      </c>
      <c r="C23" s="3" t="s">
        <v>146</v>
      </c>
      <c r="D23" s="3" t="s">
        <v>147</v>
      </c>
      <c r="E23" s="15" t="s">
        <v>201</v>
      </c>
      <c r="F23" s="16">
        <v>264</v>
      </c>
      <c r="G23" s="3" t="s">
        <v>153</v>
      </c>
      <c r="H23" s="3" t="s">
        <v>181</v>
      </c>
      <c r="I23" s="3" t="s">
        <v>202</v>
      </c>
      <c r="J23" s="3" t="s">
        <v>14</v>
      </c>
      <c r="K23" s="1" t="str">
        <f t="shared" si="0"/>
        <v>BH194L-4_BH194L_EBH012_PG1341_27,5_264_sample</v>
      </c>
      <c r="M23" s="6"/>
      <c r="N23" s="10"/>
    </row>
    <row r="24" spans="1:14">
      <c r="A24" t="s">
        <v>38</v>
      </c>
      <c r="B24" s="3" t="s">
        <v>0</v>
      </c>
      <c r="C24" s="3" t="s">
        <v>146</v>
      </c>
      <c r="D24" s="3" t="s">
        <v>147</v>
      </c>
      <c r="E24" s="15" t="s">
        <v>201</v>
      </c>
      <c r="F24" s="16">
        <v>264</v>
      </c>
      <c r="G24" s="3" t="s">
        <v>153</v>
      </c>
      <c r="H24" s="3" t="s">
        <v>181</v>
      </c>
      <c r="I24" s="3" t="s">
        <v>202</v>
      </c>
      <c r="J24" s="3" t="s">
        <v>14</v>
      </c>
      <c r="K24" s="1" t="str">
        <f t="shared" si="0"/>
        <v>BH194L-4_BH194L_EBH012_PG1341_27,5_264_sample</v>
      </c>
      <c r="M24" s="6"/>
      <c r="N24" s="10"/>
    </row>
    <row r="25" spans="1:14">
      <c r="A25" t="s">
        <v>39</v>
      </c>
      <c r="B25" s="3" t="s">
        <v>7</v>
      </c>
      <c r="C25" s="3" t="s">
        <v>146</v>
      </c>
      <c r="D25" s="3" t="s">
        <v>147</v>
      </c>
      <c r="E25" s="15" t="s">
        <v>203</v>
      </c>
      <c r="F25" s="16">
        <v>1212</v>
      </c>
      <c r="G25" s="3" t="s">
        <v>154</v>
      </c>
      <c r="H25" s="3" t="s">
        <v>181</v>
      </c>
      <c r="I25" s="3" t="s">
        <v>204</v>
      </c>
      <c r="J25" s="3" t="s">
        <v>14</v>
      </c>
      <c r="K25" s="1" t="str">
        <f t="shared" si="0"/>
        <v>BH194L-7_BH194L_EBH015_PG1341_80,5_1212_sample</v>
      </c>
      <c r="M25" s="6"/>
      <c r="N25" s="8"/>
    </row>
    <row r="26" spans="1:14">
      <c r="A26" t="s">
        <v>40</v>
      </c>
      <c r="B26" s="3" t="s">
        <v>0</v>
      </c>
      <c r="C26" s="3" t="s">
        <v>146</v>
      </c>
      <c r="D26" s="3" t="s">
        <v>147</v>
      </c>
      <c r="E26" s="15" t="s">
        <v>203</v>
      </c>
      <c r="F26" s="16">
        <v>1212</v>
      </c>
      <c r="G26" s="3" t="s">
        <v>154</v>
      </c>
      <c r="H26" s="3" t="s">
        <v>181</v>
      </c>
      <c r="I26" s="3" t="s">
        <v>204</v>
      </c>
      <c r="J26" s="3" t="s">
        <v>14</v>
      </c>
      <c r="K26" s="1" t="str">
        <f t="shared" si="0"/>
        <v>BH194L-7_BH194L_EBH015_PG1341_80,5_1212_sample</v>
      </c>
      <c r="M26" s="6"/>
      <c r="N26" s="10"/>
    </row>
    <row r="27" spans="1:14">
      <c r="A27" t="s">
        <v>41</v>
      </c>
      <c r="B27" s="3" t="s">
        <v>7</v>
      </c>
      <c r="C27" s="3" t="s">
        <v>146</v>
      </c>
      <c r="D27" s="3" t="s">
        <v>147</v>
      </c>
      <c r="E27" s="15" t="s">
        <v>203</v>
      </c>
      <c r="F27" s="16">
        <v>1212</v>
      </c>
      <c r="G27" s="3" t="s">
        <v>154</v>
      </c>
      <c r="H27" s="3" t="s">
        <v>181</v>
      </c>
      <c r="I27" s="3" t="s">
        <v>204</v>
      </c>
      <c r="J27" s="3" t="s">
        <v>14</v>
      </c>
      <c r="K27" s="1" t="str">
        <f t="shared" si="0"/>
        <v>BH194L-7_BH194L_EBH015_PG1341_80,5_1212_sample</v>
      </c>
      <c r="M27" s="6"/>
      <c r="N27" s="10"/>
    </row>
    <row r="28" spans="1:14">
      <c r="A28" t="s">
        <v>42</v>
      </c>
      <c r="B28" s="3" t="s">
        <v>0</v>
      </c>
      <c r="C28" s="3" t="s">
        <v>146</v>
      </c>
      <c r="D28" s="3" t="s">
        <v>147</v>
      </c>
      <c r="E28" s="15" t="s">
        <v>203</v>
      </c>
      <c r="F28" s="16">
        <v>1212</v>
      </c>
      <c r="G28" s="3" t="s">
        <v>154</v>
      </c>
      <c r="H28" s="3" t="s">
        <v>181</v>
      </c>
      <c r="I28" s="3" t="s">
        <v>204</v>
      </c>
      <c r="J28" s="3" t="s">
        <v>14</v>
      </c>
      <c r="K28" s="1" t="str">
        <f t="shared" si="0"/>
        <v>BH194L-7_BH194L_EBH015_PG1341_80,5_1212_sample</v>
      </c>
      <c r="M28" s="6"/>
      <c r="N28" s="10"/>
    </row>
    <row r="29" spans="1:14">
      <c r="A29" t="s">
        <v>43</v>
      </c>
      <c r="B29" s="3" t="s">
        <v>7</v>
      </c>
      <c r="C29" s="3" t="s">
        <v>146</v>
      </c>
      <c r="D29" s="3" t="s">
        <v>147</v>
      </c>
      <c r="E29" s="13" t="s">
        <v>5</v>
      </c>
      <c r="F29" s="13" t="s">
        <v>5</v>
      </c>
      <c r="G29" s="3" t="s">
        <v>155</v>
      </c>
      <c r="H29" s="3" t="s">
        <v>181</v>
      </c>
      <c r="I29" s="3" t="s">
        <v>190</v>
      </c>
      <c r="J29" s="3" t="s">
        <v>15</v>
      </c>
      <c r="K29" s="1" t="str">
        <f t="shared" si="0"/>
        <v>BH194L-8_BH194L_library blank_PG1341_NA_NA_blank</v>
      </c>
      <c r="M29" s="6"/>
      <c r="N29" s="10"/>
    </row>
    <row r="30" spans="1:14">
      <c r="A30" t="s">
        <v>44</v>
      </c>
      <c r="B30" s="3" t="s">
        <v>0</v>
      </c>
      <c r="C30" s="3" t="s">
        <v>146</v>
      </c>
      <c r="D30" s="3" t="s">
        <v>147</v>
      </c>
      <c r="E30" s="13" t="s">
        <v>5</v>
      </c>
      <c r="F30" s="13" t="s">
        <v>5</v>
      </c>
      <c r="G30" s="3" t="s">
        <v>155</v>
      </c>
      <c r="H30" s="3" t="s">
        <v>181</v>
      </c>
      <c r="I30" s="3" t="s">
        <v>190</v>
      </c>
      <c r="J30" s="3" t="s">
        <v>15</v>
      </c>
      <c r="K30" s="1" t="str">
        <f t="shared" si="0"/>
        <v>BH194L-8_BH194L_library blank_PG1341_NA_NA_blank</v>
      </c>
      <c r="M30" s="6"/>
      <c r="N30" s="10"/>
    </row>
    <row r="31" spans="1:14">
      <c r="A31" t="s">
        <v>45</v>
      </c>
      <c r="B31" s="3" t="s">
        <v>7</v>
      </c>
      <c r="C31" s="3" t="s">
        <v>146</v>
      </c>
      <c r="D31" s="3" t="s">
        <v>147</v>
      </c>
      <c r="E31" s="13" t="s">
        <v>5</v>
      </c>
      <c r="F31" s="13" t="s">
        <v>5</v>
      </c>
      <c r="G31" s="3" t="s">
        <v>155</v>
      </c>
      <c r="H31" s="3" t="s">
        <v>181</v>
      </c>
      <c r="I31" s="3" t="s">
        <v>190</v>
      </c>
      <c r="J31" s="3" t="s">
        <v>15</v>
      </c>
      <c r="K31" s="1" t="str">
        <f t="shared" si="0"/>
        <v>BH194L-8_BH194L_library blank_PG1341_NA_NA_blank</v>
      </c>
      <c r="M31" s="6"/>
      <c r="N31" s="10"/>
    </row>
    <row r="32" spans="1:14">
      <c r="A32" t="s">
        <v>46</v>
      </c>
      <c r="B32" s="3" t="s">
        <v>0</v>
      </c>
      <c r="C32" s="3" t="s">
        <v>146</v>
      </c>
      <c r="D32" s="3" t="s">
        <v>147</v>
      </c>
      <c r="E32" s="13" t="s">
        <v>5</v>
      </c>
      <c r="F32" s="13" t="s">
        <v>5</v>
      </c>
      <c r="G32" s="3" t="s">
        <v>155</v>
      </c>
      <c r="H32" s="3" t="s">
        <v>181</v>
      </c>
      <c r="I32" s="3" t="s">
        <v>190</v>
      </c>
      <c r="J32" s="3" t="s">
        <v>15</v>
      </c>
      <c r="K32" s="1" t="str">
        <f t="shared" si="0"/>
        <v>BH194L-8_BH194L_library blank_PG1341_NA_NA_blank</v>
      </c>
      <c r="M32" s="6"/>
      <c r="N32" s="10"/>
    </row>
    <row r="33" spans="1:14">
      <c r="A33" t="s">
        <v>47</v>
      </c>
      <c r="B33" s="3" t="s">
        <v>7</v>
      </c>
      <c r="C33" s="3" t="s">
        <v>146</v>
      </c>
      <c r="D33" s="3" t="s">
        <v>147</v>
      </c>
      <c r="E33" s="15" t="s">
        <v>205</v>
      </c>
      <c r="F33" s="16">
        <v>2504</v>
      </c>
      <c r="G33" s="3" t="s">
        <v>156</v>
      </c>
      <c r="H33" s="3" t="s">
        <v>182</v>
      </c>
      <c r="I33" s="3" t="s">
        <v>206</v>
      </c>
      <c r="J33" s="3" t="s">
        <v>14</v>
      </c>
      <c r="K33" s="1" t="str">
        <f t="shared" si="0"/>
        <v>BH195L-2_BH195L_EBH017_PG1341_120,5_2504_sample</v>
      </c>
      <c r="M33" s="6"/>
      <c r="N33" s="8"/>
    </row>
    <row r="34" spans="1:14">
      <c r="A34" t="s">
        <v>48</v>
      </c>
      <c r="B34" s="3" t="s">
        <v>0</v>
      </c>
      <c r="C34" s="3" t="s">
        <v>146</v>
      </c>
      <c r="D34" s="3" t="s">
        <v>147</v>
      </c>
      <c r="E34" s="15" t="s">
        <v>205</v>
      </c>
      <c r="F34" s="16">
        <v>2504</v>
      </c>
      <c r="G34" s="3" t="s">
        <v>156</v>
      </c>
      <c r="H34" s="3" t="s">
        <v>182</v>
      </c>
      <c r="I34" s="3" t="s">
        <v>206</v>
      </c>
      <c r="J34" s="3" t="s">
        <v>14</v>
      </c>
      <c r="K34" s="1" t="str">
        <f t="shared" ref="K34:K97" si="1">CONCATENATE(G34,"_",H34,"_",I34,"_",D34,"_",E34,"_",F34,"_",J34)</f>
        <v>BH195L-2_BH195L_EBH017_PG1341_120,5_2504_sample</v>
      </c>
    </row>
    <row r="35" spans="1:14">
      <c r="A35" t="s">
        <v>49</v>
      </c>
      <c r="B35" s="3" t="s">
        <v>7</v>
      </c>
      <c r="C35" s="3" t="s">
        <v>146</v>
      </c>
      <c r="D35" s="3" t="s">
        <v>147</v>
      </c>
      <c r="E35" s="15" t="s">
        <v>205</v>
      </c>
      <c r="F35" s="16">
        <v>2504</v>
      </c>
      <c r="G35" s="3" t="s">
        <v>156</v>
      </c>
      <c r="H35" s="3" t="s">
        <v>182</v>
      </c>
      <c r="I35" s="3" t="s">
        <v>206</v>
      </c>
      <c r="J35" s="3" t="s">
        <v>14</v>
      </c>
      <c r="K35" s="1" t="str">
        <f t="shared" si="1"/>
        <v>BH195L-2_BH195L_EBH017_PG1341_120,5_2504_sample</v>
      </c>
    </row>
    <row r="36" spans="1:14">
      <c r="A36" t="s">
        <v>50</v>
      </c>
      <c r="B36" s="3" t="s">
        <v>0</v>
      </c>
      <c r="C36" s="3" t="s">
        <v>146</v>
      </c>
      <c r="D36" s="3" t="s">
        <v>147</v>
      </c>
      <c r="E36" s="15" t="s">
        <v>205</v>
      </c>
      <c r="F36" s="16">
        <v>2504</v>
      </c>
      <c r="G36" s="3" t="s">
        <v>156</v>
      </c>
      <c r="H36" s="3" t="s">
        <v>182</v>
      </c>
      <c r="I36" s="3" t="s">
        <v>206</v>
      </c>
      <c r="J36" s="3" t="s">
        <v>14</v>
      </c>
      <c r="K36" s="1" t="str">
        <f t="shared" si="1"/>
        <v>BH195L-2_BH195L_EBH017_PG1341_120,5_2504_sample</v>
      </c>
    </row>
    <row r="37" spans="1:14">
      <c r="A37" t="s">
        <v>51</v>
      </c>
      <c r="B37" s="3" t="s">
        <v>7</v>
      </c>
      <c r="C37" s="3" t="s">
        <v>146</v>
      </c>
      <c r="D37" s="3" t="s">
        <v>147</v>
      </c>
      <c r="E37" s="13" t="s">
        <v>5</v>
      </c>
      <c r="F37" s="13" t="s">
        <v>5</v>
      </c>
      <c r="G37" s="3" t="s">
        <v>157</v>
      </c>
      <c r="H37" s="3" t="s">
        <v>182</v>
      </c>
      <c r="I37" s="3" t="s">
        <v>190</v>
      </c>
      <c r="J37" s="3" t="s">
        <v>15</v>
      </c>
      <c r="K37" s="1" t="str">
        <f t="shared" si="1"/>
        <v>BH195L-7_BH195L_library blank_PG1341_NA_NA_blank</v>
      </c>
    </row>
    <row r="38" spans="1:14">
      <c r="A38" t="s">
        <v>52</v>
      </c>
      <c r="B38" s="3" t="s">
        <v>0</v>
      </c>
      <c r="C38" s="3" t="s">
        <v>146</v>
      </c>
      <c r="D38" s="3" t="s">
        <v>147</v>
      </c>
      <c r="E38" s="13" t="s">
        <v>5</v>
      </c>
      <c r="F38" s="13" t="s">
        <v>5</v>
      </c>
      <c r="G38" s="3" t="s">
        <v>157</v>
      </c>
      <c r="H38" s="3" t="s">
        <v>182</v>
      </c>
      <c r="I38" s="3" t="s">
        <v>190</v>
      </c>
      <c r="J38" s="3" t="s">
        <v>15</v>
      </c>
      <c r="K38" s="1" t="str">
        <f t="shared" si="1"/>
        <v>BH195L-7_BH195L_library blank_PG1341_NA_NA_blank</v>
      </c>
    </row>
    <row r="39" spans="1:14">
      <c r="A39" t="s">
        <v>53</v>
      </c>
      <c r="B39" s="3" t="s">
        <v>7</v>
      </c>
      <c r="C39" s="3" t="s">
        <v>146</v>
      </c>
      <c r="D39" s="3" t="s">
        <v>147</v>
      </c>
      <c r="E39" s="13" t="s">
        <v>5</v>
      </c>
      <c r="F39" s="13" t="s">
        <v>5</v>
      </c>
      <c r="G39" s="3" t="s">
        <v>157</v>
      </c>
      <c r="H39" s="3" t="s">
        <v>182</v>
      </c>
      <c r="I39" s="3" t="s">
        <v>190</v>
      </c>
      <c r="J39" s="3" t="s">
        <v>15</v>
      </c>
      <c r="K39" s="1" t="str">
        <f t="shared" si="1"/>
        <v>BH195L-7_BH195L_library blank_PG1341_NA_NA_blank</v>
      </c>
    </row>
    <row r="40" spans="1:14">
      <c r="A40" t="s">
        <v>54</v>
      </c>
      <c r="B40" s="3" t="s">
        <v>0</v>
      </c>
      <c r="C40" s="3" t="s">
        <v>146</v>
      </c>
      <c r="D40" s="3" t="s">
        <v>147</v>
      </c>
      <c r="E40" s="13" t="s">
        <v>5</v>
      </c>
      <c r="F40" s="13" t="s">
        <v>5</v>
      </c>
      <c r="G40" s="3" t="s">
        <v>157</v>
      </c>
      <c r="H40" s="3" t="s">
        <v>182</v>
      </c>
      <c r="I40" s="3" t="s">
        <v>190</v>
      </c>
      <c r="J40" s="3" t="s">
        <v>15</v>
      </c>
      <c r="K40" s="1" t="str">
        <f t="shared" si="1"/>
        <v>BH195L-7_BH195L_library blank_PG1341_NA_NA_blank</v>
      </c>
    </row>
    <row r="41" spans="1:14">
      <c r="A41" t="s">
        <v>55</v>
      </c>
      <c r="B41" s="3" t="s">
        <v>7</v>
      </c>
      <c r="C41" s="3" t="s">
        <v>146</v>
      </c>
      <c r="D41" s="3" t="s">
        <v>147</v>
      </c>
      <c r="E41" s="13" t="s">
        <v>5</v>
      </c>
      <c r="F41" s="13" t="s">
        <v>5</v>
      </c>
      <c r="G41" s="3" t="s">
        <v>158</v>
      </c>
      <c r="H41" s="3" t="s">
        <v>183</v>
      </c>
      <c r="I41" s="3" t="s">
        <v>189</v>
      </c>
      <c r="J41" s="3" t="s">
        <v>15</v>
      </c>
      <c r="K41" s="1" t="str">
        <f t="shared" si="1"/>
        <v>JK081L-10_JK081L_EBH030_PG1341_NA_NA_blank</v>
      </c>
    </row>
    <row r="42" spans="1:14">
      <c r="A42" t="s">
        <v>56</v>
      </c>
      <c r="B42" s="3" t="s">
        <v>0</v>
      </c>
      <c r="C42" s="3" t="s">
        <v>146</v>
      </c>
      <c r="D42" s="3" t="s">
        <v>147</v>
      </c>
      <c r="E42" s="13" t="s">
        <v>5</v>
      </c>
      <c r="F42" s="13" t="s">
        <v>5</v>
      </c>
      <c r="G42" s="3" t="s">
        <v>158</v>
      </c>
      <c r="H42" s="3" t="s">
        <v>183</v>
      </c>
      <c r="I42" s="3" t="s">
        <v>189</v>
      </c>
      <c r="J42" s="3" t="s">
        <v>15</v>
      </c>
      <c r="K42" s="1" t="str">
        <f t="shared" si="1"/>
        <v>JK081L-10_JK081L_EBH030_PG1341_NA_NA_blank</v>
      </c>
    </row>
    <row r="43" spans="1:14">
      <c r="A43" t="s">
        <v>57</v>
      </c>
      <c r="B43" s="3" t="s">
        <v>7</v>
      </c>
      <c r="C43" s="3" t="s">
        <v>146</v>
      </c>
      <c r="D43" s="3" t="s">
        <v>147</v>
      </c>
      <c r="E43" s="13" t="s">
        <v>5</v>
      </c>
      <c r="F43" s="13" t="s">
        <v>5</v>
      </c>
      <c r="G43" s="3" t="s">
        <v>158</v>
      </c>
      <c r="H43" s="3" t="s">
        <v>183</v>
      </c>
      <c r="I43" s="3" t="s">
        <v>189</v>
      </c>
      <c r="J43" s="3" t="s">
        <v>15</v>
      </c>
      <c r="K43" s="1" t="str">
        <f t="shared" si="1"/>
        <v>JK081L-10_JK081L_EBH030_PG1341_NA_NA_blank</v>
      </c>
    </row>
    <row r="44" spans="1:14">
      <c r="A44" t="s">
        <v>58</v>
      </c>
      <c r="B44" s="3" t="s">
        <v>0</v>
      </c>
      <c r="C44" s="3" t="s">
        <v>146</v>
      </c>
      <c r="D44" s="3" t="s">
        <v>147</v>
      </c>
      <c r="E44" s="13" t="s">
        <v>5</v>
      </c>
      <c r="F44" s="13" t="s">
        <v>5</v>
      </c>
      <c r="G44" s="3" t="s">
        <v>158</v>
      </c>
      <c r="H44" s="3" t="s">
        <v>183</v>
      </c>
      <c r="I44" s="3" t="s">
        <v>189</v>
      </c>
      <c r="J44" s="3" t="s">
        <v>15</v>
      </c>
      <c r="K44" s="1" t="str">
        <f t="shared" si="1"/>
        <v>JK081L-10_JK081L_EBH030_PG1341_NA_NA_blank</v>
      </c>
    </row>
    <row r="45" spans="1:14">
      <c r="A45" t="s">
        <v>59</v>
      </c>
      <c r="B45" s="3" t="s">
        <v>7</v>
      </c>
      <c r="C45" s="3" t="s">
        <v>146</v>
      </c>
      <c r="D45" s="3" t="s">
        <v>147</v>
      </c>
      <c r="E45" s="15">
        <v>949.5</v>
      </c>
      <c r="F45" s="16">
        <v>17222</v>
      </c>
      <c r="G45" s="3" t="s">
        <v>159</v>
      </c>
      <c r="H45" s="3" t="s">
        <v>183</v>
      </c>
      <c r="I45" s="3" t="s">
        <v>193</v>
      </c>
      <c r="J45" s="3" t="s">
        <v>14</v>
      </c>
      <c r="K45" s="1" t="str">
        <f t="shared" si="1"/>
        <v>JK081L-11_JK081L_EBH031_PG1341_949.5_17222_sample</v>
      </c>
    </row>
    <row r="46" spans="1:14">
      <c r="A46" t="s">
        <v>60</v>
      </c>
      <c r="B46" s="3" t="s">
        <v>0</v>
      </c>
      <c r="C46" s="3" t="s">
        <v>146</v>
      </c>
      <c r="D46" s="3" t="s">
        <v>147</v>
      </c>
      <c r="E46" s="15">
        <v>949.5</v>
      </c>
      <c r="F46" s="16">
        <v>17222</v>
      </c>
      <c r="G46" s="3" t="s">
        <v>159</v>
      </c>
      <c r="H46" s="3" t="s">
        <v>183</v>
      </c>
      <c r="I46" s="3" t="s">
        <v>193</v>
      </c>
      <c r="J46" s="3" t="s">
        <v>14</v>
      </c>
      <c r="K46" s="1" t="str">
        <f t="shared" si="1"/>
        <v>JK081L-11_JK081L_EBH031_PG1341_949.5_17222_sample</v>
      </c>
    </row>
    <row r="47" spans="1:14">
      <c r="A47" t="s">
        <v>61</v>
      </c>
      <c r="B47" s="3" t="s">
        <v>7</v>
      </c>
      <c r="C47" s="3" t="s">
        <v>146</v>
      </c>
      <c r="D47" s="3" t="s">
        <v>147</v>
      </c>
      <c r="E47" s="15">
        <v>949.5</v>
      </c>
      <c r="F47" s="16">
        <v>17222</v>
      </c>
      <c r="G47" s="3" t="s">
        <v>159</v>
      </c>
      <c r="H47" s="3" t="s">
        <v>183</v>
      </c>
      <c r="I47" s="3" t="s">
        <v>193</v>
      </c>
      <c r="J47" s="3" t="s">
        <v>14</v>
      </c>
      <c r="K47" s="1" t="str">
        <f t="shared" si="1"/>
        <v>JK081L-11_JK081L_EBH031_PG1341_949.5_17222_sample</v>
      </c>
    </row>
    <row r="48" spans="1:14">
      <c r="A48" t="s">
        <v>62</v>
      </c>
      <c r="B48" s="3" t="s">
        <v>0</v>
      </c>
      <c r="C48" s="3" t="s">
        <v>146</v>
      </c>
      <c r="D48" s="3" t="s">
        <v>147</v>
      </c>
      <c r="E48" s="15">
        <v>949.5</v>
      </c>
      <c r="F48" s="16">
        <v>17222</v>
      </c>
      <c r="G48" s="3" t="s">
        <v>159</v>
      </c>
      <c r="H48" s="3" t="s">
        <v>183</v>
      </c>
      <c r="I48" s="3" t="s">
        <v>193</v>
      </c>
      <c r="J48" s="3" t="s">
        <v>14</v>
      </c>
      <c r="K48" s="1" t="str">
        <f t="shared" si="1"/>
        <v>JK081L-11_JK081L_EBH031_PG1341_949.5_17222_sample</v>
      </c>
    </row>
    <row r="49" spans="1:11">
      <c r="A49" t="s">
        <v>63</v>
      </c>
      <c r="B49" s="3" t="s">
        <v>7</v>
      </c>
      <c r="C49" s="3" t="s">
        <v>146</v>
      </c>
      <c r="D49" s="3" t="s">
        <v>147</v>
      </c>
      <c r="E49" s="15">
        <v>1261.5</v>
      </c>
      <c r="F49" s="16">
        <v>19192</v>
      </c>
      <c r="G49" s="3" t="s">
        <v>160</v>
      </c>
      <c r="H49" s="3" t="s">
        <v>183</v>
      </c>
      <c r="I49" s="3" t="s">
        <v>194</v>
      </c>
      <c r="J49" s="3" t="s">
        <v>14</v>
      </c>
      <c r="K49" s="1" t="str">
        <f t="shared" si="1"/>
        <v>JK081L-12_JK081L_EBH032_PG1341_1261.5_19192_sample</v>
      </c>
    </row>
    <row r="50" spans="1:11">
      <c r="A50" t="s">
        <v>64</v>
      </c>
      <c r="B50" s="3" t="s">
        <v>0</v>
      </c>
      <c r="C50" s="3" t="s">
        <v>146</v>
      </c>
      <c r="D50" s="3" t="s">
        <v>147</v>
      </c>
      <c r="E50" s="15">
        <v>1261.5</v>
      </c>
      <c r="F50" s="16">
        <v>19192</v>
      </c>
      <c r="G50" s="3" t="s">
        <v>160</v>
      </c>
      <c r="H50" s="3" t="s">
        <v>183</v>
      </c>
      <c r="I50" s="3" t="s">
        <v>194</v>
      </c>
      <c r="J50" s="3" t="s">
        <v>14</v>
      </c>
      <c r="K50" s="1" t="str">
        <f t="shared" si="1"/>
        <v>JK081L-12_JK081L_EBH032_PG1341_1261.5_19192_sample</v>
      </c>
    </row>
    <row r="51" spans="1:11">
      <c r="A51" t="s">
        <v>65</v>
      </c>
      <c r="B51" s="3" t="s">
        <v>7</v>
      </c>
      <c r="C51" s="3" t="s">
        <v>146</v>
      </c>
      <c r="D51" s="3" t="s">
        <v>147</v>
      </c>
      <c r="E51" s="15">
        <v>1261.5</v>
      </c>
      <c r="F51" s="16">
        <v>19192</v>
      </c>
      <c r="G51" s="3" t="s">
        <v>160</v>
      </c>
      <c r="H51" s="3" t="s">
        <v>183</v>
      </c>
      <c r="I51" s="3" t="s">
        <v>194</v>
      </c>
      <c r="J51" s="3" t="s">
        <v>14</v>
      </c>
      <c r="K51" s="1" t="str">
        <f t="shared" si="1"/>
        <v>JK081L-12_JK081L_EBH032_PG1341_1261.5_19192_sample</v>
      </c>
    </row>
    <row r="52" spans="1:11">
      <c r="A52" t="s">
        <v>66</v>
      </c>
      <c r="B52" s="3" t="s">
        <v>0</v>
      </c>
      <c r="C52" s="3" t="s">
        <v>146</v>
      </c>
      <c r="D52" s="3" t="s">
        <v>147</v>
      </c>
      <c r="E52" s="15">
        <v>1261.5</v>
      </c>
      <c r="F52" s="16">
        <v>19192</v>
      </c>
      <c r="G52" s="3" t="s">
        <v>160</v>
      </c>
      <c r="H52" s="3" t="s">
        <v>183</v>
      </c>
      <c r="I52" s="3" t="s">
        <v>194</v>
      </c>
      <c r="J52" s="3" t="s">
        <v>14</v>
      </c>
      <c r="K52" s="1" t="str">
        <f t="shared" si="1"/>
        <v>JK081L-12_JK081L_EBH032_PG1341_1261.5_19192_sample</v>
      </c>
    </row>
    <row r="53" spans="1:11">
      <c r="A53" t="s">
        <v>67</v>
      </c>
      <c r="B53" s="3" t="s">
        <v>7</v>
      </c>
      <c r="C53" s="3" t="s">
        <v>146</v>
      </c>
      <c r="D53" s="3" t="s">
        <v>147</v>
      </c>
      <c r="E53" s="15">
        <v>1482.5</v>
      </c>
      <c r="F53" s="16">
        <v>21068</v>
      </c>
      <c r="G53" s="3" t="s">
        <v>161</v>
      </c>
      <c r="H53" s="3" t="s">
        <v>183</v>
      </c>
      <c r="I53" s="3" t="s">
        <v>192</v>
      </c>
      <c r="J53" s="3" t="s">
        <v>14</v>
      </c>
      <c r="K53" s="1" t="str">
        <f t="shared" si="1"/>
        <v>JK081L-13_JK081L_EBH033_PG1341_1482.5_21068_sample</v>
      </c>
    </row>
    <row r="54" spans="1:11">
      <c r="A54" t="s">
        <v>68</v>
      </c>
      <c r="B54" s="3" t="s">
        <v>0</v>
      </c>
      <c r="C54" s="3" t="s">
        <v>146</v>
      </c>
      <c r="D54" s="3" t="s">
        <v>147</v>
      </c>
      <c r="E54" s="15">
        <v>1482.5</v>
      </c>
      <c r="F54" s="16">
        <v>21068</v>
      </c>
      <c r="G54" s="3" t="s">
        <v>161</v>
      </c>
      <c r="H54" s="3" t="s">
        <v>183</v>
      </c>
      <c r="I54" s="3" t="s">
        <v>192</v>
      </c>
      <c r="J54" s="3" t="s">
        <v>14</v>
      </c>
      <c r="K54" s="1" t="str">
        <f t="shared" si="1"/>
        <v>JK081L-13_JK081L_EBH033_PG1341_1482.5_21068_sample</v>
      </c>
    </row>
    <row r="55" spans="1:11">
      <c r="A55" t="s">
        <v>69</v>
      </c>
      <c r="B55" s="3" t="s">
        <v>7</v>
      </c>
      <c r="C55" s="3" t="s">
        <v>146</v>
      </c>
      <c r="D55" s="3" t="s">
        <v>147</v>
      </c>
      <c r="E55" s="15">
        <v>1482.5</v>
      </c>
      <c r="F55" s="16">
        <v>21068</v>
      </c>
      <c r="G55" s="3" t="s">
        <v>161</v>
      </c>
      <c r="H55" s="3" t="s">
        <v>183</v>
      </c>
      <c r="I55" s="3" t="s">
        <v>192</v>
      </c>
      <c r="J55" s="3" t="s">
        <v>14</v>
      </c>
      <c r="K55" s="1" t="str">
        <f t="shared" si="1"/>
        <v>JK081L-13_JK081L_EBH033_PG1341_1482.5_21068_sample</v>
      </c>
    </row>
    <row r="56" spans="1:11">
      <c r="A56" t="s">
        <v>70</v>
      </c>
      <c r="B56" s="3" t="s">
        <v>0</v>
      </c>
      <c r="C56" s="3" t="s">
        <v>146</v>
      </c>
      <c r="D56" s="3" t="s">
        <v>147</v>
      </c>
      <c r="E56" s="15">
        <v>1482.5</v>
      </c>
      <c r="F56" s="16">
        <v>21068</v>
      </c>
      <c r="G56" s="3" t="s">
        <v>161</v>
      </c>
      <c r="H56" s="3" t="s">
        <v>183</v>
      </c>
      <c r="I56" s="3" t="s">
        <v>192</v>
      </c>
      <c r="J56" s="3" t="s">
        <v>14</v>
      </c>
      <c r="K56" s="1" t="str">
        <f t="shared" si="1"/>
        <v>JK081L-13_JK081L_EBH033_PG1341_1482.5_21068_sample</v>
      </c>
    </row>
    <row r="57" spans="1:11">
      <c r="A57" t="s">
        <v>71</v>
      </c>
      <c r="B57" s="3" t="s">
        <v>7</v>
      </c>
      <c r="C57" s="3" t="s">
        <v>146</v>
      </c>
      <c r="D57" s="3" t="s">
        <v>147</v>
      </c>
      <c r="E57" s="13" t="s">
        <v>5</v>
      </c>
      <c r="F57" s="13" t="s">
        <v>5</v>
      </c>
      <c r="G57" s="3" t="s">
        <v>162</v>
      </c>
      <c r="H57" s="3" t="s">
        <v>183</v>
      </c>
      <c r="I57" s="3" t="s">
        <v>191</v>
      </c>
      <c r="J57" s="3" t="s">
        <v>15</v>
      </c>
      <c r="K57" s="1" t="str">
        <f t="shared" si="1"/>
        <v>JK081L-14_JK081L_EBH034_PG1341_NA_NA_blank</v>
      </c>
    </row>
    <row r="58" spans="1:11">
      <c r="A58" t="s">
        <v>72</v>
      </c>
      <c r="B58" s="3" t="s">
        <v>0</v>
      </c>
      <c r="C58" s="3" t="s">
        <v>146</v>
      </c>
      <c r="D58" s="3" t="s">
        <v>147</v>
      </c>
      <c r="E58" s="13" t="s">
        <v>5</v>
      </c>
      <c r="F58" s="13" t="s">
        <v>5</v>
      </c>
      <c r="G58" s="3" t="s">
        <v>162</v>
      </c>
      <c r="H58" s="3" t="s">
        <v>183</v>
      </c>
      <c r="I58" s="3" t="s">
        <v>191</v>
      </c>
      <c r="J58" s="3" t="s">
        <v>15</v>
      </c>
      <c r="K58" s="1" t="str">
        <f t="shared" si="1"/>
        <v>JK081L-14_JK081L_EBH034_PG1341_NA_NA_blank</v>
      </c>
    </row>
    <row r="59" spans="1:11">
      <c r="A59" t="s">
        <v>73</v>
      </c>
      <c r="B59" s="3" t="s">
        <v>7</v>
      </c>
      <c r="C59" s="3" t="s">
        <v>146</v>
      </c>
      <c r="D59" s="3" t="s">
        <v>147</v>
      </c>
      <c r="E59" s="13" t="s">
        <v>5</v>
      </c>
      <c r="F59" s="13" t="s">
        <v>5</v>
      </c>
      <c r="G59" s="3" t="s">
        <v>162</v>
      </c>
      <c r="H59" s="3" t="s">
        <v>183</v>
      </c>
      <c r="I59" s="3" t="s">
        <v>191</v>
      </c>
      <c r="J59" s="3" t="s">
        <v>15</v>
      </c>
      <c r="K59" s="1" t="str">
        <f t="shared" si="1"/>
        <v>JK081L-14_JK081L_EBH034_PG1341_NA_NA_blank</v>
      </c>
    </row>
    <row r="60" spans="1:11">
      <c r="A60" t="s">
        <v>74</v>
      </c>
      <c r="B60" s="3" t="s">
        <v>0</v>
      </c>
      <c r="C60" s="3" t="s">
        <v>146</v>
      </c>
      <c r="D60" s="3" t="s">
        <v>147</v>
      </c>
      <c r="E60" s="13" t="s">
        <v>5</v>
      </c>
      <c r="F60" s="13" t="s">
        <v>5</v>
      </c>
      <c r="G60" s="3" t="s">
        <v>162</v>
      </c>
      <c r="H60" s="3" t="s">
        <v>183</v>
      </c>
      <c r="I60" s="3" t="s">
        <v>191</v>
      </c>
      <c r="J60" s="3" t="s">
        <v>15</v>
      </c>
      <c r="K60" s="1" t="str">
        <f t="shared" si="1"/>
        <v>JK081L-14_JK081L_EBH034_PG1341_NA_NA_blank</v>
      </c>
    </row>
    <row r="61" spans="1:11">
      <c r="A61" t="s">
        <v>75</v>
      </c>
      <c r="B61" s="3" t="s">
        <v>7</v>
      </c>
      <c r="C61" s="3" t="s">
        <v>146</v>
      </c>
      <c r="D61" s="3" t="s">
        <v>147</v>
      </c>
      <c r="E61" s="13" t="s">
        <v>5</v>
      </c>
      <c r="F61" s="13" t="s">
        <v>5</v>
      </c>
      <c r="G61" s="3" t="s">
        <v>163</v>
      </c>
      <c r="H61" s="3" t="s">
        <v>183</v>
      </c>
      <c r="I61" s="3" t="s">
        <v>190</v>
      </c>
      <c r="J61" s="3" t="s">
        <v>15</v>
      </c>
      <c r="K61" s="1" t="str">
        <f t="shared" si="1"/>
        <v>JK081L-15_JK081L_library blank_PG1341_NA_NA_blank</v>
      </c>
    </row>
    <row r="62" spans="1:11">
      <c r="A62" t="s">
        <v>76</v>
      </c>
      <c r="B62" s="3" t="s">
        <v>0</v>
      </c>
      <c r="C62" s="3" t="s">
        <v>146</v>
      </c>
      <c r="D62" s="3" t="s">
        <v>147</v>
      </c>
      <c r="E62" s="13" t="s">
        <v>5</v>
      </c>
      <c r="F62" s="13" t="s">
        <v>5</v>
      </c>
      <c r="G62" s="3" t="s">
        <v>163</v>
      </c>
      <c r="H62" s="3" t="s">
        <v>183</v>
      </c>
      <c r="I62" s="3" t="s">
        <v>190</v>
      </c>
      <c r="J62" s="3" t="s">
        <v>15</v>
      </c>
      <c r="K62" s="1" t="str">
        <f t="shared" si="1"/>
        <v>JK081L-15_JK081L_library blank_PG1341_NA_NA_blank</v>
      </c>
    </row>
    <row r="63" spans="1:11">
      <c r="A63" t="s">
        <v>77</v>
      </c>
      <c r="B63" s="3" t="s">
        <v>7</v>
      </c>
      <c r="C63" s="3" t="s">
        <v>146</v>
      </c>
      <c r="D63" s="3" t="s">
        <v>147</v>
      </c>
      <c r="E63" s="13" t="s">
        <v>5</v>
      </c>
      <c r="F63" s="13" t="s">
        <v>5</v>
      </c>
      <c r="G63" s="3" t="s">
        <v>163</v>
      </c>
      <c r="H63" s="3" t="s">
        <v>183</v>
      </c>
      <c r="I63" s="3" t="s">
        <v>190</v>
      </c>
      <c r="J63" s="3" t="s">
        <v>15</v>
      </c>
      <c r="K63" s="1" t="str">
        <f t="shared" si="1"/>
        <v>JK081L-15_JK081L_library blank_PG1341_NA_NA_blank</v>
      </c>
    </row>
    <row r="64" spans="1:11">
      <c r="A64" t="s">
        <v>78</v>
      </c>
      <c r="B64" s="3" t="s">
        <v>0</v>
      </c>
      <c r="C64" s="3" t="s">
        <v>146</v>
      </c>
      <c r="D64" s="3" t="s">
        <v>147</v>
      </c>
      <c r="E64" s="13" t="s">
        <v>5</v>
      </c>
      <c r="F64" s="13" t="s">
        <v>5</v>
      </c>
      <c r="G64" s="3" t="s">
        <v>163</v>
      </c>
      <c r="H64" s="3" t="s">
        <v>183</v>
      </c>
      <c r="I64" s="3" t="s">
        <v>190</v>
      </c>
      <c r="J64" s="3" t="s">
        <v>15</v>
      </c>
      <c r="K64" s="1" t="str">
        <f t="shared" si="1"/>
        <v>JK081L-15_JK081L_library blank_PG1341_NA_NA_blank</v>
      </c>
    </row>
    <row r="65" spans="1:11">
      <c r="A65" t="s">
        <v>79</v>
      </c>
      <c r="B65" s="3" t="s">
        <v>7</v>
      </c>
      <c r="C65" s="3" t="s">
        <v>146</v>
      </c>
      <c r="D65" s="3" t="s">
        <v>147</v>
      </c>
      <c r="E65" s="15" t="s">
        <v>187</v>
      </c>
      <c r="F65" s="16">
        <v>9816</v>
      </c>
      <c r="G65" s="3" t="s">
        <v>164</v>
      </c>
      <c r="H65" s="3" t="s">
        <v>183</v>
      </c>
      <c r="I65" s="3" t="s">
        <v>212</v>
      </c>
      <c r="J65" s="3" t="s">
        <v>14</v>
      </c>
      <c r="K65" s="1" t="str">
        <f t="shared" si="1"/>
        <v>JK081L-1_JK081L_EBH021_PG1341_366,5_9816_sample</v>
      </c>
    </row>
    <row r="66" spans="1:11">
      <c r="A66" t="s">
        <v>80</v>
      </c>
      <c r="B66" s="3" t="s">
        <v>0</v>
      </c>
      <c r="C66" s="3" t="s">
        <v>146</v>
      </c>
      <c r="D66" s="3" t="s">
        <v>147</v>
      </c>
      <c r="E66" s="15" t="s">
        <v>187</v>
      </c>
      <c r="F66" s="16">
        <v>9816</v>
      </c>
      <c r="G66" s="3" t="s">
        <v>164</v>
      </c>
      <c r="H66" s="3" t="s">
        <v>183</v>
      </c>
      <c r="I66" s="3" t="s">
        <v>212</v>
      </c>
      <c r="J66" s="12" t="s">
        <v>14</v>
      </c>
      <c r="K66" s="1" t="str">
        <f t="shared" si="1"/>
        <v>JK081L-1_JK081L_EBH021_PG1341_366,5_9816_sample</v>
      </c>
    </row>
    <row r="67" spans="1:11">
      <c r="A67" t="s">
        <v>81</v>
      </c>
      <c r="B67" s="3" t="s">
        <v>7</v>
      </c>
      <c r="C67" s="3" t="s">
        <v>146</v>
      </c>
      <c r="D67" s="3" t="s">
        <v>147</v>
      </c>
      <c r="E67" s="15" t="s">
        <v>187</v>
      </c>
      <c r="F67" s="16">
        <v>9816</v>
      </c>
      <c r="G67" s="3" t="s">
        <v>164</v>
      </c>
      <c r="H67" s="3" t="s">
        <v>183</v>
      </c>
      <c r="I67" s="3" t="s">
        <v>212</v>
      </c>
      <c r="J67" s="12" t="s">
        <v>14</v>
      </c>
      <c r="K67" s="1" t="str">
        <f t="shared" si="1"/>
        <v>JK081L-1_JK081L_EBH021_PG1341_366,5_9816_sample</v>
      </c>
    </row>
    <row r="68" spans="1:11">
      <c r="A68" t="s">
        <v>82</v>
      </c>
      <c r="B68" s="3" t="s">
        <v>0</v>
      </c>
      <c r="C68" s="3" t="s">
        <v>146</v>
      </c>
      <c r="D68" s="3" t="s">
        <v>147</v>
      </c>
      <c r="E68" s="15" t="s">
        <v>187</v>
      </c>
      <c r="F68" s="16">
        <v>9816</v>
      </c>
      <c r="G68" s="3" t="s">
        <v>164</v>
      </c>
      <c r="H68" s="3" t="s">
        <v>183</v>
      </c>
      <c r="I68" s="3" t="s">
        <v>212</v>
      </c>
      <c r="J68" s="12" t="s">
        <v>14</v>
      </c>
      <c r="K68" s="1" t="str">
        <f t="shared" si="1"/>
        <v>JK081L-1_JK081L_EBH021_PG1341_366,5_9816_sample</v>
      </c>
    </row>
    <row r="69" spans="1:11">
      <c r="A69" t="s">
        <v>83</v>
      </c>
      <c r="B69" s="3" t="s">
        <v>7</v>
      </c>
      <c r="C69" s="3" t="s">
        <v>146</v>
      </c>
      <c r="D69" s="3" t="s">
        <v>147</v>
      </c>
      <c r="E69" s="15" t="s">
        <v>188</v>
      </c>
      <c r="F69" s="16">
        <v>12992</v>
      </c>
      <c r="G69" s="3" t="s">
        <v>165</v>
      </c>
      <c r="H69" s="3" t="s">
        <v>183</v>
      </c>
      <c r="I69" s="3" t="s">
        <v>213</v>
      </c>
      <c r="J69" s="12" t="s">
        <v>14</v>
      </c>
      <c r="K69" s="1" t="str">
        <f t="shared" si="1"/>
        <v>JK081L-2_JK081L_EBH022_PG1341_457,5_12992_sample</v>
      </c>
    </row>
    <row r="70" spans="1:11">
      <c r="A70" t="s">
        <v>84</v>
      </c>
      <c r="B70" s="3" t="s">
        <v>0</v>
      </c>
      <c r="C70" s="3" t="s">
        <v>146</v>
      </c>
      <c r="D70" s="3" t="s">
        <v>147</v>
      </c>
      <c r="E70" s="15" t="s">
        <v>188</v>
      </c>
      <c r="F70" s="16">
        <v>12992</v>
      </c>
      <c r="G70" s="3" t="s">
        <v>165</v>
      </c>
      <c r="H70" s="3" t="s">
        <v>183</v>
      </c>
      <c r="I70" s="3" t="s">
        <v>213</v>
      </c>
      <c r="J70" s="12" t="s">
        <v>14</v>
      </c>
      <c r="K70" s="1" t="str">
        <f t="shared" si="1"/>
        <v>JK081L-2_JK081L_EBH022_PG1341_457,5_12992_sample</v>
      </c>
    </row>
    <row r="71" spans="1:11">
      <c r="A71" t="s">
        <v>85</v>
      </c>
      <c r="B71" s="3" t="s">
        <v>7</v>
      </c>
      <c r="C71" s="3" t="s">
        <v>146</v>
      </c>
      <c r="D71" s="3" t="s">
        <v>147</v>
      </c>
      <c r="E71" s="15" t="s">
        <v>188</v>
      </c>
      <c r="F71" s="16">
        <v>12992</v>
      </c>
      <c r="G71" s="3" t="s">
        <v>165</v>
      </c>
      <c r="H71" s="3" t="s">
        <v>183</v>
      </c>
      <c r="I71" s="3" t="s">
        <v>213</v>
      </c>
      <c r="J71" s="12" t="s">
        <v>14</v>
      </c>
      <c r="K71" s="1" t="str">
        <f t="shared" si="1"/>
        <v>JK081L-2_JK081L_EBH022_PG1341_457,5_12992_sample</v>
      </c>
    </row>
    <row r="72" spans="1:11">
      <c r="A72" t="s">
        <v>86</v>
      </c>
      <c r="B72" s="3" t="s">
        <v>0</v>
      </c>
      <c r="C72" s="3" t="s">
        <v>146</v>
      </c>
      <c r="D72" s="3" t="s">
        <v>147</v>
      </c>
      <c r="E72" s="15" t="s">
        <v>188</v>
      </c>
      <c r="F72" s="16">
        <v>12992</v>
      </c>
      <c r="G72" s="3" t="s">
        <v>165</v>
      </c>
      <c r="H72" s="3" t="s">
        <v>183</v>
      </c>
      <c r="I72" s="3" t="s">
        <v>213</v>
      </c>
      <c r="J72" s="12" t="s">
        <v>14</v>
      </c>
      <c r="K72" s="1" t="str">
        <f t="shared" si="1"/>
        <v>JK081L-2_JK081L_EBH022_PG1341_457,5_12992_sample</v>
      </c>
    </row>
    <row r="73" spans="1:11">
      <c r="A73" t="s">
        <v>87</v>
      </c>
      <c r="B73" s="3" t="s">
        <v>7</v>
      </c>
      <c r="C73" s="3" t="s">
        <v>146</v>
      </c>
      <c r="D73" s="3" t="s">
        <v>147</v>
      </c>
      <c r="E73" s="15">
        <v>388.5</v>
      </c>
      <c r="F73" s="16">
        <v>10428</v>
      </c>
      <c r="G73" s="3" t="s">
        <v>166</v>
      </c>
      <c r="H73" s="3" t="s">
        <v>183</v>
      </c>
      <c r="I73" s="3" t="s">
        <v>214</v>
      </c>
      <c r="J73" s="12" t="s">
        <v>14</v>
      </c>
      <c r="K73" s="1" t="str">
        <f t="shared" si="1"/>
        <v>JK081L-3_JK081L_EBH023_PG1341_388.5_10428_sample</v>
      </c>
    </row>
    <row r="74" spans="1:11">
      <c r="A74" t="s">
        <v>88</v>
      </c>
      <c r="B74" s="3" t="s">
        <v>0</v>
      </c>
      <c r="C74" s="3" t="s">
        <v>146</v>
      </c>
      <c r="D74" s="3" t="s">
        <v>147</v>
      </c>
      <c r="E74" s="15">
        <v>388.5</v>
      </c>
      <c r="F74" s="16">
        <v>10428</v>
      </c>
      <c r="G74" s="3" t="s">
        <v>166</v>
      </c>
      <c r="H74" s="3" t="s">
        <v>183</v>
      </c>
      <c r="I74" s="3" t="s">
        <v>214</v>
      </c>
      <c r="J74" s="12" t="s">
        <v>14</v>
      </c>
      <c r="K74" s="1" t="str">
        <f t="shared" si="1"/>
        <v>JK081L-3_JK081L_EBH023_PG1341_388.5_10428_sample</v>
      </c>
    </row>
    <row r="75" spans="1:11">
      <c r="A75" t="s">
        <v>89</v>
      </c>
      <c r="B75" s="3" t="s">
        <v>7</v>
      </c>
      <c r="C75" s="3" t="s">
        <v>146</v>
      </c>
      <c r="D75" s="3" t="s">
        <v>147</v>
      </c>
      <c r="E75" s="15">
        <v>388.5</v>
      </c>
      <c r="F75" s="16">
        <v>10428</v>
      </c>
      <c r="G75" s="3" t="s">
        <v>166</v>
      </c>
      <c r="H75" s="3" t="s">
        <v>183</v>
      </c>
      <c r="I75" s="3" t="s">
        <v>214</v>
      </c>
      <c r="J75" s="12" t="s">
        <v>14</v>
      </c>
      <c r="K75" s="1" t="str">
        <f t="shared" si="1"/>
        <v>JK081L-3_JK081L_EBH023_PG1341_388.5_10428_sample</v>
      </c>
    </row>
    <row r="76" spans="1:11">
      <c r="A76" t="s">
        <v>90</v>
      </c>
      <c r="B76" s="3" t="s">
        <v>0</v>
      </c>
      <c r="C76" s="3" t="s">
        <v>146</v>
      </c>
      <c r="D76" s="3" t="s">
        <v>147</v>
      </c>
      <c r="E76" s="15">
        <v>388.5</v>
      </c>
      <c r="F76" s="16">
        <v>10428</v>
      </c>
      <c r="G76" s="3" t="s">
        <v>166</v>
      </c>
      <c r="H76" s="3" t="s">
        <v>183</v>
      </c>
      <c r="I76" s="3" t="s">
        <v>214</v>
      </c>
      <c r="J76" s="12" t="s">
        <v>14</v>
      </c>
      <c r="K76" s="1" t="str">
        <f t="shared" si="1"/>
        <v>JK081L-3_JK081L_EBH023_PG1341_388.5_10428_sample</v>
      </c>
    </row>
    <row r="77" spans="1:11">
      <c r="A77" t="s">
        <v>91</v>
      </c>
      <c r="B77" s="3" t="s">
        <v>7</v>
      </c>
      <c r="C77" s="3" t="s">
        <v>146</v>
      </c>
      <c r="D77" s="3" t="s">
        <v>147</v>
      </c>
      <c r="E77" s="15">
        <v>425.5</v>
      </c>
      <c r="F77" s="16">
        <v>11791</v>
      </c>
      <c r="G77" s="3" t="s">
        <v>167</v>
      </c>
      <c r="H77" s="3" t="s">
        <v>183</v>
      </c>
      <c r="I77" s="3" t="s">
        <v>215</v>
      </c>
      <c r="J77" s="12" t="s">
        <v>14</v>
      </c>
      <c r="K77" s="1" t="str">
        <f t="shared" si="1"/>
        <v>JK081L-4_JK081L_EBH024_PG1341_425.5_11791_sample</v>
      </c>
    </row>
    <row r="78" spans="1:11">
      <c r="A78" t="s">
        <v>92</v>
      </c>
      <c r="B78" s="3" t="s">
        <v>0</v>
      </c>
      <c r="C78" s="3" t="s">
        <v>146</v>
      </c>
      <c r="D78" s="3" t="s">
        <v>147</v>
      </c>
      <c r="E78" s="15">
        <v>425.5</v>
      </c>
      <c r="F78" s="16">
        <v>11791</v>
      </c>
      <c r="G78" s="3" t="s">
        <v>167</v>
      </c>
      <c r="H78" s="3" t="s">
        <v>183</v>
      </c>
      <c r="I78" s="3" t="s">
        <v>215</v>
      </c>
      <c r="J78" s="12" t="s">
        <v>14</v>
      </c>
      <c r="K78" s="1" t="str">
        <f t="shared" si="1"/>
        <v>JK081L-4_JK081L_EBH024_PG1341_425.5_11791_sample</v>
      </c>
    </row>
    <row r="79" spans="1:11">
      <c r="A79" t="s">
        <v>93</v>
      </c>
      <c r="B79" s="3" t="s">
        <v>7</v>
      </c>
      <c r="C79" s="3" t="s">
        <v>146</v>
      </c>
      <c r="D79" s="3" t="s">
        <v>147</v>
      </c>
      <c r="E79" s="15">
        <v>425.5</v>
      </c>
      <c r="F79" s="16">
        <v>11791</v>
      </c>
      <c r="G79" s="3" t="s">
        <v>167</v>
      </c>
      <c r="H79" s="3" t="s">
        <v>183</v>
      </c>
      <c r="I79" s="3" t="s">
        <v>215</v>
      </c>
      <c r="J79" s="12" t="s">
        <v>14</v>
      </c>
      <c r="K79" s="1" t="str">
        <f t="shared" si="1"/>
        <v>JK081L-4_JK081L_EBH024_PG1341_425.5_11791_sample</v>
      </c>
    </row>
    <row r="80" spans="1:11">
      <c r="A80" t="s">
        <v>94</v>
      </c>
      <c r="B80" s="3" t="s">
        <v>0</v>
      </c>
      <c r="C80" s="3" t="s">
        <v>146</v>
      </c>
      <c r="D80" s="3" t="s">
        <v>147</v>
      </c>
      <c r="E80" s="15">
        <v>425.5</v>
      </c>
      <c r="F80" s="16">
        <v>11791</v>
      </c>
      <c r="G80" s="3" t="s">
        <v>167</v>
      </c>
      <c r="H80" s="3" t="s">
        <v>183</v>
      </c>
      <c r="I80" s="3" t="s">
        <v>215</v>
      </c>
      <c r="J80" s="12" t="s">
        <v>14</v>
      </c>
      <c r="K80" s="1" t="str">
        <f t="shared" si="1"/>
        <v>JK081L-4_JK081L_EBH024_PG1341_425.5_11791_sample</v>
      </c>
    </row>
    <row r="81" spans="1:11">
      <c r="A81" t="s">
        <v>95</v>
      </c>
      <c r="B81" s="3" t="s">
        <v>7</v>
      </c>
      <c r="C81" s="3" t="s">
        <v>146</v>
      </c>
      <c r="D81" s="3" t="s">
        <v>147</v>
      </c>
      <c r="E81" s="15">
        <v>514.5</v>
      </c>
      <c r="F81" s="15">
        <v>14025</v>
      </c>
      <c r="G81" s="3" t="s">
        <v>168</v>
      </c>
      <c r="H81" s="3" t="s">
        <v>183</v>
      </c>
      <c r="I81" s="3" t="s">
        <v>216</v>
      </c>
      <c r="J81" s="12" t="s">
        <v>14</v>
      </c>
      <c r="K81" s="1" t="str">
        <f t="shared" si="1"/>
        <v>JK081L-5_JK081L_EBH025_PG1341_514,5_14025_sample</v>
      </c>
    </row>
    <row r="82" spans="1:11">
      <c r="A82" t="s">
        <v>96</v>
      </c>
      <c r="B82" s="3" t="s">
        <v>0</v>
      </c>
      <c r="C82" s="3" t="s">
        <v>146</v>
      </c>
      <c r="D82" s="3" t="s">
        <v>147</v>
      </c>
      <c r="E82" s="15">
        <v>514.5</v>
      </c>
      <c r="F82" s="15">
        <v>14025</v>
      </c>
      <c r="G82" s="3" t="s">
        <v>168</v>
      </c>
      <c r="H82" s="3" t="s">
        <v>183</v>
      </c>
      <c r="I82" s="3" t="s">
        <v>216</v>
      </c>
      <c r="J82" s="12" t="s">
        <v>14</v>
      </c>
      <c r="K82" s="1" t="str">
        <f t="shared" si="1"/>
        <v>JK081L-5_JK081L_EBH025_PG1341_514,5_14025_sample</v>
      </c>
    </row>
    <row r="83" spans="1:11">
      <c r="A83" t="s">
        <v>97</v>
      </c>
      <c r="B83" s="3" t="s">
        <v>7</v>
      </c>
      <c r="C83" s="3" t="s">
        <v>146</v>
      </c>
      <c r="D83" s="3" t="s">
        <v>147</v>
      </c>
      <c r="E83" s="15">
        <v>514.5</v>
      </c>
      <c r="F83" s="15">
        <v>14025</v>
      </c>
      <c r="G83" s="3" t="s">
        <v>168</v>
      </c>
      <c r="H83" s="3" t="s">
        <v>183</v>
      </c>
      <c r="I83" s="3" t="s">
        <v>216</v>
      </c>
      <c r="J83" s="12" t="s">
        <v>14</v>
      </c>
      <c r="K83" s="1" t="str">
        <f t="shared" si="1"/>
        <v>JK081L-5_JK081L_EBH025_PG1341_514,5_14025_sample</v>
      </c>
    </row>
    <row r="84" spans="1:11">
      <c r="A84" t="s">
        <v>98</v>
      </c>
      <c r="B84" s="3" t="s">
        <v>0</v>
      </c>
      <c r="C84" s="3" t="s">
        <v>146</v>
      </c>
      <c r="D84" s="3" t="s">
        <v>147</v>
      </c>
      <c r="E84" s="15">
        <v>551.5</v>
      </c>
      <c r="F84" s="16">
        <v>14020</v>
      </c>
      <c r="G84" s="3" t="s">
        <v>169</v>
      </c>
      <c r="H84" s="3" t="s">
        <v>183</v>
      </c>
      <c r="I84" s="3" t="s">
        <v>217</v>
      </c>
      <c r="J84" s="12" t="s">
        <v>14</v>
      </c>
      <c r="K84" s="1" t="str">
        <f t="shared" si="1"/>
        <v>JK081L-6_JK081L_EBH026_PG1341_551.5_14020_sample</v>
      </c>
    </row>
    <row r="85" spans="1:11">
      <c r="A85" t="s">
        <v>99</v>
      </c>
      <c r="B85" s="3" t="s">
        <v>7</v>
      </c>
      <c r="C85" s="3" t="s">
        <v>146</v>
      </c>
      <c r="D85" s="3" t="s">
        <v>147</v>
      </c>
      <c r="E85" s="15">
        <v>551.5</v>
      </c>
      <c r="F85" s="16">
        <v>14020</v>
      </c>
      <c r="G85" s="3" t="s">
        <v>169</v>
      </c>
      <c r="H85" s="3" t="s">
        <v>183</v>
      </c>
      <c r="I85" s="3" t="s">
        <v>217</v>
      </c>
      <c r="J85" s="12" t="s">
        <v>14</v>
      </c>
      <c r="K85" s="1" t="str">
        <f t="shared" si="1"/>
        <v>JK081L-6_JK081L_EBH026_PG1341_551.5_14020_sample</v>
      </c>
    </row>
    <row r="86" spans="1:11">
      <c r="A86" t="s">
        <v>100</v>
      </c>
      <c r="B86" s="3" t="s">
        <v>0</v>
      </c>
      <c r="C86" s="3" t="s">
        <v>146</v>
      </c>
      <c r="D86" s="3" t="s">
        <v>147</v>
      </c>
      <c r="E86" s="15">
        <v>551.5</v>
      </c>
      <c r="F86" s="16">
        <v>14020</v>
      </c>
      <c r="G86" s="3" t="s">
        <v>169</v>
      </c>
      <c r="H86" s="3" t="s">
        <v>183</v>
      </c>
      <c r="I86" s="3" t="s">
        <v>217</v>
      </c>
      <c r="J86" s="12" t="s">
        <v>14</v>
      </c>
      <c r="K86" s="1" t="str">
        <f t="shared" si="1"/>
        <v>JK081L-6_JK081L_EBH026_PG1341_551.5_14020_sample</v>
      </c>
    </row>
    <row r="87" spans="1:11">
      <c r="A87" t="s">
        <v>101</v>
      </c>
      <c r="B87" s="3" t="s">
        <v>7</v>
      </c>
      <c r="C87" s="3" t="s">
        <v>146</v>
      </c>
      <c r="D87" s="3" t="s">
        <v>147</v>
      </c>
      <c r="E87" s="15">
        <v>551.5</v>
      </c>
      <c r="F87" s="16">
        <v>14020</v>
      </c>
      <c r="G87" s="3" t="s">
        <v>169</v>
      </c>
      <c r="H87" s="3" t="s">
        <v>183</v>
      </c>
      <c r="I87" s="3" t="s">
        <v>217</v>
      </c>
      <c r="J87" s="12" t="s">
        <v>14</v>
      </c>
      <c r="K87" s="1" t="str">
        <f t="shared" si="1"/>
        <v>JK081L-6_JK081L_EBH026_PG1341_551.5_14020_sample</v>
      </c>
    </row>
    <row r="88" spans="1:11">
      <c r="A88" t="s">
        <v>102</v>
      </c>
      <c r="B88" s="3" t="s">
        <v>0</v>
      </c>
      <c r="C88" s="3" t="s">
        <v>146</v>
      </c>
      <c r="D88" s="3" t="s">
        <v>147</v>
      </c>
      <c r="E88" s="15">
        <v>654.5</v>
      </c>
      <c r="F88" s="16">
        <v>14315</v>
      </c>
      <c r="G88" s="3" t="s">
        <v>170</v>
      </c>
      <c r="H88" s="3" t="s">
        <v>183</v>
      </c>
      <c r="I88" s="3" t="s">
        <v>218</v>
      </c>
      <c r="J88" s="12" t="s">
        <v>14</v>
      </c>
      <c r="K88" s="1" t="str">
        <f t="shared" si="1"/>
        <v>JK081L-7_JK081L_EBH027_PG1341_654.5_14315_sample</v>
      </c>
    </row>
    <row r="89" spans="1:11">
      <c r="A89" t="s">
        <v>103</v>
      </c>
      <c r="B89" s="3" t="s">
        <v>7</v>
      </c>
      <c r="C89" s="3" t="s">
        <v>146</v>
      </c>
      <c r="D89" s="3" t="s">
        <v>147</v>
      </c>
      <c r="E89" s="15">
        <v>654.5</v>
      </c>
      <c r="F89" s="16">
        <v>14315</v>
      </c>
      <c r="G89" s="3" t="s">
        <v>170</v>
      </c>
      <c r="H89" s="3" t="s">
        <v>183</v>
      </c>
      <c r="I89" s="3" t="s">
        <v>218</v>
      </c>
      <c r="J89" s="12" t="s">
        <v>14</v>
      </c>
      <c r="K89" s="1" t="str">
        <f t="shared" si="1"/>
        <v>JK081L-7_JK081L_EBH027_PG1341_654.5_14315_sample</v>
      </c>
    </row>
    <row r="90" spans="1:11">
      <c r="A90" t="s">
        <v>104</v>
      </c>
      <c r="B90" s="3" t="s">
        <v>0</v>
      </c>
      <c r="C90" s="3" t="s">
        <v>146</v>
      </c>
      <c r="D90" s="3" t="s">
        <v>147</v>
      </c>
      <c r="E90" s="15">
        <v>654.5</v>
      </c>
      <c r="F90" s="16">
        <v>14315</v>
      </c>
      <c r="G90" s="3" t="s">
        <v>170</v>
      </c>
      <c r="H90" s="3" t="s">
        <v>183</v>
      </c>
      <c r="I90" s="3" t="s">
        <v>218</v>
      </c>
      <c r="J90" s="12" t="s">
        <v>14</v>
      </c>
      <c r="K90" s="1" t="str">
        <f t="shared" si="1"/>
        <v>JK081L-7_JK081L_EBH027_PG1341_654.5_14315_sample</v>
      </c>
    </row>
    <row r="91" spans="1:11">
      <c r="A91" t="s">
        <v>105</v>
      </c>
      <c r="B91" s="3" t="s">
        <v>7</v>
      </c>
      <c r="C91" s="3" t="s">
        <v>146</v>
      </c>
      <c r="D91" s="3" t="s">
        <v>147</v>
      </c>
      <c r="E91" s="15">
        <v>654.5</v>
      </c>
      <c r="F91" s="16">
        <v>14315</v>
      </c>
      <c r="G91" s="3" t="s">
        <v>170</v>
      </c>
      <c r="H91" s="3" t="s">
        <v>183</v>
      </c>
      <c r="I91" s="3" t="s">
        <v>218</v>
      </c>
      <c r="J91" s="12" t="s">
        <v>14</v>
      </c>
      <c r="K91" s="1" t="str">
        <f t="shared" si="1"/>
        <v>JK081L-7_JK081L_EBH027_PG1341_654.5_14315_sample</v>
      </c>
    </row>
    <row r="92" spans="1:11">
      <c r="A92" t="s">
        <v>106</v>
      </c>
      <c r="B92" s="3" t="s">
        <v>0</v>
      </c>
      <c r="C92" s="3" t="s">
        <v>146</v>
      </c>
      <c r="D92" s="3" t="s">
        <v>147</v>
      </c>
      <c r="E92" s="15">
        <v>776.5</v>
      </c>
      <c r="F92" s="16">
        <v>15123</v>
      </c>
      <c r="G92" s="3" t="s">
        <v>171</v>
      </c>
      <c r="H92" s="3" t="s">
        <v>183</v>
      </c>
      <c r="I92" s="3" t="s">
        <v>219</v>
      </c>
      <c r="J92" s="12" t="s">
        <v>14</v>
      </c>
      <c r="K92" s="1" t="str">
        <f t="shared" si="1"/>
        <v>JK081L-8_JK081L_EBH028_PG1341_776.5_15123_sample</v>
      </c>
    </row>
    <row r="93" spans="1:11">
      <c r="A93" t="s">
        <v>107</v>
      </c>
      <c r="B93" s="3" t="s">
        <v>7</v>
      </c>
      <c r="C93" s="3" t="s">
        <v>146</v>
      </c>
      <c r="D93" s="3" t="s">
        <v>147</v>
      </c>
      <c r="E93" s="15">
        <v>776.5</v>
      </c>
      <c r="F93" s="16">
        <v>15123</v>
      </c>
      <c r="G93" s="3" t="s">
        <v>171</v>
      </c>
      <c r="H93" s="3" t="s">
        <v>183</v>
      </c>
      <c r="I93" s="3" t="s">
        <v>219</v>
      </c>
      <c r="J93" s="12" t="s">
        <v>14</v>
      </c>
      <c r="K93" s="1" t="str">
        <f t="shared" si="1"/>
        <v>JK081L-8_JK081L_EBH028_PG1341_776.5_15123_sample</v>
      </c>
    </row>
    <row r="94" spans="1:11">
      <c r="A94" t="s">
        <v>108</v>
      </c>
      <c r="B94" s="3" t="s">
        <v>0</v>
      </c>
      <c r="C94" s="3" t="s">
        <v>146</v>
      </c>
      <c r="D94" s="3" t="s">
        <v>147</v>
      </c>
      <c r="E94" s="15">
        <v>776.5</v>
      </c>
      <c r="F94" s="16">
        <v>15123</v>
      </c>
      <c r="G94" s="3" t="s">
        <v>171</v>
      </c>
      <c r="H94" s="3" t="s">
        <v>183</v>
      </c>
      <c r="I94" s="3" t="s">
        <v>219</v>
      </c>
      <c r="J94" s="12" t="s">
        <v>14</v>
      </c>
      <c r="K94" s="1" t="str">
        <f t="shared" si="1"/>
        <v>JK081L-8_JK081L_EBH028_PG1341_776.5_15123_sample</v>
      </c>
    </row>
    <row r="95" spans="1:11">
      <c r="A95" t="s">
        <v>109</v>
      </c>
      <c r="B95" s="3" t="s">
        <v>7</v>
      </c>
      <c r="C95" s="3" t="s">
        <v>146</v>
      </c>
      <c r="D95" s="3" t="s">
        <v>147</v>
      </c>
      <c r="E95" s="15">
        <v>776.5</v>
      </c>
      <c r="F95" s="16">
        <v>15123</v>
      </c>
      <c r="G95" s="3" t="s">
        <v>171</v>
      </c>
      <c r="H95" s="3" t="s">
        <v>183</v>
      </c>
      <c r="I95" s="3" t="s">
        <v>219</v>
      </c>
      <c r="J95" s="12" t="s">
        <v>14</v>
      </c>
      <c r="K95" s="1" t="str">
        <f t="shared" si="1"/>
        <v>JK081L-8_JK081L_EBH028_PG1341_776.5_15123_sample</v>
      </c>
    </row>
    <row r="96" spans="1:11">
      <c r="A96" t="s">
        <v>110</v>
      </c>
      <c r="B96" s="3" t="s">
        <v>0</v>
      </c>
      <c r="C96" s="3" t="s">
        <v>146</v>
      </c>
      <c r="D96" s="3" t="s">
        <v>147</v>
      </c>
      <c r="E96" s="15">
        <v>1147.5</v>
      </c>
      <c r="F96" s="16">
        <v>16084</v>
      </c>
      <c r="G96" s="3" t="s">
        <v>172</v>
      </c>
      <c r="H96" s="3" t="s">
        <v>183</v>
      </c>
      <c r="I96" s="3" t="s">
        <v>220</v>
      </c>
      <c r="J96" s="12" t="s">
        <v>14</v>
      </c>
      <c r="K96" s="1" t="str">
        <f t="shared" si="1"/>
        <v>JK081L-9_JK081L_EBH029_PG1341_1147.5_16084_sample</v>
      </c>
    </row>
    <row r="97" spans="1:11">
      <c r="A97" t="s">
        <v>111</v>
      </c>
      <c r="B97" s="3" t="s">
        <v>7</v>
      </c>
      <c r="C97" s="3" t="s">
        <v>146</v>
      </c>
      <c r="D97" s="3" t="s">
        <v>147</v>
      </c>
      <c r="E97" s="15">
        <v>1147.5</v>
      </c>
      <c r="F97" s="16">
        <v>16084</v>
      </c>
      <c r="G97" s="3" t="s">
        <v>172</v>
      </c>
      <c r="H97" s="3" t="s">
        <v>183</v>
      </c>
      <c r="I97" s="3" t="s">
        <v>220</v>
      </c>
      <c r="J97" s="12" t="s">
        <v>14</v>
      </c>
      <c r="K97" s="1" t="str">
        <f t="shared" si="1"/>
        <v>JK081L-9_JK081L_EBH029_PG1341_1147.5_16084_sample</v>
      </c>
    </row>
    <row r="98" spans="1:11">
      <c r="A98" t="s">
        <v>112</v>
      </c>
      <c r="B98" s="3" t="s">
        <v>0</v>
      </c>
      <c r="C98" s="3" t="s">
        <v>146</v>
      </c>
      <c r="D98" s="3" t="s">
        <v>147</v>
      </c>
      <c r="E98" s="15">
        <v>1147.5</v>
      </c>
      <c r="F98" s="16">
        <v>16084</v>
      </c>
      <c r="G98" s="3" t="s">
        <v>172</v>
      </c>
      <c r="H98" s="3" t="s">
        <v>183</v>
      </c>
      <c r="I98" s="3" t="s">
        <v>220</v>
      </c>
      <c r="J98" s="12" t="s">
        <v>14</v>
      </c>
      <c r="K98" s="1" t="str">
        <f t="shared" ref="K98:K131" si="2">CONCATENATE(G98,"_",H98,"_",I98,"_",D98,"_",E98,"_",F98,"_",J98)</f>
        <v>JK081L-9_JK081L_EBH029_PG1341_1147.5_16084_sample</v>
      </c>
    </row>
    <row r="99" spans="1:11">
      <c r="A99" t="s">
        <v>113</v>
      </c>
      <c r="B99" s="3" t="s">
        <v>7</v>
      </c>
      <c r="C99" s="3" t="s">
        <v>146</v>
      </c>
      <c r="D99" s="3" t="s">
        <v>147</v>
      </c>
      <c r="E99" s="15">
        <v>1147.5</v>
      </c>
      <c r="F99" s="16">
        <v>16084</v>
      </c>
      <c r="G99" s="3" t="s">
        <v>172</v>
      </c>
      <c r="H99" s="3" t="s">
        <v>183</v>
      </c>
      <c r="I99" s="3" t="s">
        <v>220</v>
      </c>
      <c r="J99" s="12" t="s">
        <v>14</v>
      </c>
      <c r="K99" s="1" t="str">
        <f t="shared" si="2"/>
        <v>JK081L-9_JK081L_EBH029_PG1341_1147.5_16084_sample</v>
      </c>
    </row>
    <row r="100" spans="1:11">
      <c r="A100" t="s">
        <v>114</v>
      </c>
      <c r="B100" s="3" t="s">
        <v>0</v>
      </c>
      <c r="C100" s="3" t="s">
        <v>146</v>
      </c>
      <c r="D100" s="3" t="s">
        <v>147</v>
      </c>
      <c r="E100" s="13">
        <v>380</v>
      </c>
      <c r="F100" s="16">
        <v>10091</v>
      </c>
      <c r="G100" s="12" t="s">
        <v>173</v>
      </c>
      <c r="H100" s="12" t="s">
        <v>184</v>
      </c>
      <c r="I100" s="12" t="s">
        <v>207</v>
      </c>
      <c r="J100" s="12" t="s">
        <v>14</v>
      </c>
      <c r="K100" s="1" t="str">
        <f t="shared" si="2"/>
        <v>JK105L-6_JK105L_ELS123_PG1341_380_10091_sample</v>
      </c>
    </row>
    <row r="101" spans="1:11">
      <c r="A101" t="s">
        <v>115</v>
      </c>
      <c r="B101" s="3" t="s">
        <v>7</v>
      </c>
      <c r="C101" s="3" t="s">
        <v>146</v>
      </c>
      <c r="D101" s="3" t="s">
        <v>147</v>
      </c>
      <c r="E101" s="13">
        <v>380</v>
      </c>
      <c r="F101" s="16">
        <v>10091</v>
      </c>
      <c r="G101" s="12" t="s">
        <v>173</v>
      </c>
      <c r="H101" s="12" t="s">
        <v>184</v>
      </c>
      <c r="I101" s="12" t="s">
        <v>207</v>
      </c>
      <c r="J101" s="12" t="s">
        <v>14</v>
      </c>
      <c r="K101" s="1" t="str">
        <f t="shared" si="2"/>
        <v>JK105L-6_JK105L_ELS123_PG1341_380_10091_sample</v>
      </c>
    </row>
    <row r="102" spans="1:11">
      <c r="A102" t="s">
        <v>116</v>
      </c>
      <c r="B102" s="3" t="s">
        <v>0</v>
      </c>
      <c r="C102" s="3" t="s">
        <v>146</v>
      </c>
      <c r="D102" s="3" t="s">
        <v>147</v>
      </c>
      <c r="E102" s="13">
        <v>380</v>
      </c>
      <c r="F102" s="16">
        <v>10091</v>
      </c>
      <c r="G102" s="12" t="s">
        <v>173</v>
      </c>
      <c r="H102" s="12" t="s">
        <v>184</v>
      </c>
      <c r="I102" s="12" t="s">
        <v>207</v>
      </c>
      <c r="J102" s="12" t="s">
        <v>14</v>
      </c>
      <c r="K102" s="1" t="str">
        <f t="shared" si="2"/>
        <v>JK105L-6_JK105L_ELS123_PG1341_380_10091_sample</v>
      </c>
    </row>
    <row r="103" spans="1:11">
      <c r="A103" t="s">
        <v>117</v>
      </c>
      <c r="B103" s="3" t="s">
        <v>7</v>
      </c>
      <c r="C103" s="3" t="s">
        <v>146</v>
      </c>
      <c r="D103" s="3" t="s">
        <v>147</v>
      </c>
      <c r="E103" s="13">
        <v>380</v>
      </c>
      <c r="F103" s="16">
        <v>10091</v>
      </c>
      <c r="G103" s="12" t="s">
        <v>173</v>
      </c>
      <c r="H103" s="12" t="s">
        <v>184</v>
      </c>
      <c r="I103" s="12" t="s">
        <v>207</v>
      </c>
      <c r="J103" s="12" t="s">
        <v>14</v>
      </c>
      <c r="K103" s="1" t="str">
        <f t="shared" si="2"/>
        <v>JK105L-6_JK105L_ELS123_PG1341_380_10091_sample</v>
      </c>
    </row>
    <row r="104" spans="1:11">
      <c r="A104" t="s">
        <v>118</v>
      </c>
      <c r="B104" s="3" t="s">
        <v>0</v>
      </c>
      <c r="C104" s="3" t="s">
        <v>146</v>
      </c>
      <c r="D104" s="3" t="s">
        <v>147</v>
      </c>
      <c r="E104" s="13">
        <v>503.5</v>
      </c>
      <c r="F104" s="16">
        <v>13930</v>
      </c>
      <c r="G104" s="12" t="s">
        <v>174</v>
      </c>
      <c r="H104" s="12" t="s">
        <v>185</v>
      </c>
      <c r="I104" s="12" t="s">
        <v>208</v>
      </c>
      <c r="J104" s="12" t="s">
        <v>14</v>
      </c>
      <c r="K104" s="1" t="str">
        <f t="shared" si="2"/>
        <v>JK109L-4_JK109L_ELS122_PG1341_503.5_13930_sample</v>
      </c>
    </row>
    <row r="105" spans="1:11">
      <c r="A105" t="s">
        <v>119</v>
      </c>
      <c r="B105" s="3" t="s">
        <v>7</v>
      </c>
      <c r="C105" s="3" t="s">
        <v>146</v>
      </c>
      <c r="D105" s="3" t="s">
        <v>147</v>
      </c>
      <c r="E105" s="13">
        <v>503.5</v>
      </c>
      <c r="F105" s="16">
        <v>13930</v>
      </c>
      <c r="G105" s="12" t="s">
        <v>174</v>
      </c>
      <c r="H105" s="12" t="s">
        <v>185</v>
      </c>
      <c r="I105" s="12" t="s">
        <v>208</v>
      </c>
      <c r="J105" s="12" t="s">
        <v>14</v>
      </c>
      <c r="K105" s="1" t="str">
        <f t="shared" si="2"/>
        <v>JK109L-4_JK109L_ELS122_PG1341_503.5_13930_sample</v>
      </c>
    </row>
    <row r="106" spans="1:11">
      <c r="A106" t="s">
        <v>120</v>
      </c>
      <c r="B106" s="3" t="s">
        <v>0</v>
      </c>
      <c r="C106" s="3" t="s">
        <v>146</v>
      </c>
      <c r="D106" s="3" t="s">
        <v>147</v>
      </c>
      <c r="E106" s="13">
        <v>503.5</v>
      </c>
      <c r="F106" s="16">
        <v>13930</v>
      </c>
      <c r="G106" s="12" t="s">
        <v>174</v>
      </c>
      <c r="H106" s="12" t="s">
        <v>185</v>
      </c>
      <c r="I106" s="12" t="s">
        <v>208</v>
      </c>
      <c r="J106" s="12" t="s">
        <v>14</v>
      </c>
      <c r="K106" s="1" t="str">
        <f t="shared" si="2"/>
        <v>JK109L-4_JK109L_ELS122_PG1341_503.5_13930_sample</v>
      </c>
    </row>
    <row r="107" spans="1:11">
      <c r="A107" t="s">
        <v>121</v>
      </c>
      <c r="B107" s="3" t="s">
        <v>7</v>
      </c>
      <c r="C107" s="3" t="s">
        <v>146</v>
      </c>
      <c r="D107" s="3" t="s">
        <v>147</v>
      </c>
      <c r="E107" s="13">
        <v>503.5</v>
      </c>
      <c r="F107" s="16">
        <v>13930</v>
      </c>
      <c r="G107" s="12" t="s">
        <v>174</v>
      </c>
      <c r="H107" s="12" t="s">
        <v>185</v>
      </c>
      <c r="I107" s="12" t="s">
        <v>208</v>
      </c>
      <c r="J107" s="12" t="s">
        <v>14</v>
      </c>
      <c r="K107" s="1" t="str">
        <f t="shared" si="2"/>
        <v>JK109L-4_JK109L_ELS122_PG1341_503.5_13930_sample</v>
      </c>
    </row>
    <row r="108" spans="1:11">
      <c r="A108" t="s">
        <v>122</v>
      </c>
      <c r="B108" s="3" t="s">
        <v>0</v>
      </c>
      <c r="C108" s="3" t="s">
        <v>146</v>
      </c>
      <c r="D108" s="3" t="s">
        <v>147</v>
      </c>
      <c r="E108" s="13" t="s">
        <v>5</v>
      </c>
      <c r="F108" s="13" t="s">
        <v>5</v>
      </c>
      <c r="G108" s="12" t="s">
        <v>175</v>
      </c>
      <c r="H108" s="12" t="s">
        <v>185</v>
      </c>
      <c r="I108" s="12" t="s">
        <v>190</v>
      </c>
      <c r="J108" s="12" t="s">
        <v>15</v>
      </c>
      <c r="K108" s="1" t="str">
        <f t="shared" si="2"/>
        <v>JK109L-8_JK109L_library blank_PG1341_NA_NA_blank</v>
      </c>
    </row>
    <row r="109" spans="1:11">
      <c r="A109" t="s">
        <v>123</v>
      </c>
      <c r="B109" s="3" t="s">
        <v>7</v>
      </c>
      <c r="C109" s="3" t="s">
        <v>146</v>
      </c>
      <c r="D109" s="3" t="s">
        <v>147</v>
      </c>
      <c r="E109" s="13" t="s">
        <v>5</v>
      </c>
      <c r="F109" s="13" t="s">
        <v>5</v>
      </c>
      <c r="G109" s="12" t="s">
        <v>175</v>
      </c>
      <c r="H109" s="12" t="s">
        <v>185</v>
      </c>
      <c r="I109" s="12" t="s">
        <v>190</v>
      </c>
      <c r="J109" s="12" t="s">
        <v>15</v>
      </c>
      <c r="K109" s="1" t="str">
        <f t="shared" si="2"/>
        <v>JK109L-8_JK109L_library blank_PG1341_NA_NA_blank</v>
      </c>
    </row>
    <row r="110" spans="1:11">
      <c r="A110" t="s">
        <v>124</v>
      </c>
      <c r="B110" s="3" t="s">
        <v>0</v>
      </c>
      <c r="C110" s="3" t="s">
        <v>146</v>
      </c>
      <c r="D110" s="3" t="s">
        <v>147</v>
      </c>
      <c r="E110" s="13" t="s">
        <v>5</v>
      </c>
      <c r="F110" s="13" t="s">
        <v>5</v>
      </c>
      <c r="G110" s="12" t="s">
        <v>175</v>
      </c>
      <c r="H110" s="12" t="s">
        <v>185</v>
      </c>
      <c r="I110" s="12" t="s">
        <v>190</v>
      </c>
      <c r="J110" s="12" t="s">
        <v>15</v>
      </c>
      <c r="K110" s="1" t="str">
        <f t="shared" si="2"/>
        <v>JK109L-8_JK109L_library blank_PG1341_NA_NA_blank</v>
      </c>
    </row>
    <row r="111" spans="1:11">
      <c r="A111" t="s">
        <v>125</v>
      </c>
      <c r="B111" s="3" t="s">
        <v>7</v>
      </c>
      <c r="C111" s="3" t="s">
        <v>146</v>
      </c>
      <c r="D111" s="3" t="s">
        <v>147</v>
      </c>
      <c r="E111" s="13" t="s">
        <v>5</v>
      </c>
      <c r="F111" s="13" t="s">
        <v>5</v>
      </c>
      <c r="G111" s="12" t="s">
        <v>175</v>
      </c>
      <c r="H111" s="12" t="s">
        <v>185</v>
      </c>
      <c r="I111" s="12" t="s">
        <v>190</v>
      </c>
      <c r="J111" s="12" t="s">
        <v>15</v>
      </c>
      <c r="K111" s="1" t="str">
        <f t="shared" si="2"/>
        <v>JK109L-8_JK109L_library blank_PG1341_NA_NA_blank</v>
      </c>
    </row>
    <row r="112" spans="1:11">
      <c r="A112" t="s">
        <v>126</v>
      </c>
      <c r="B112" s="3" t="s">
        <v>0</v>
      </c>
      <c r="C112" s="3" t="s">
        <v>146</v>
      </c>
      <c r="D112" s="3" t="s">
        <v>147</v>
      </c>
      <c r="E112" s="14">
        <v>835</v>
      </c>
      <c r="F112" s="16">
        <v>16541</v>
      </c>
      <c r="G112" s="12" t="s">
        <v>176</v>
      </c>
      <c r="H112" s="12" t="s">
        <v>186</v>
      </c>
      <c r="I112" s="12" t="s">
        <v>209</v>
      </c>
      <c r="J112" s="12" t="s">
        <v>14</v>
      </c>
      <c r="K112" s="1" t="str">
        <f t="shared" si="2"/>
        <v>JK115L-2_JK115L_ELS117_PG1341_835_16541_sample</v>
      </c>
    </row>
    <row r="113" spans="1:11">
      <c r="A113" t="s">
        <v>127</v>
      </c>
      <c r="B113" s="3" t="s">
        <v>7</v>
      </c>
      <c r="C113" s="3" t="s">
        <v>146</v>
      </c>
      <c r="D113" s="3" t="s">
        <v>147</v>
      </c>
      <c r="E113" s="14">
        <v>835</v>
      </c>
      <c r="F113" s="16">
        <v>16541</v>
      </c>
      <c r="G113" s="12" t="s">
        <v>176</v>
      </c>
      <c r="H113" s="12" t="s">
        <v>186</v>
      </c>
      <c r="I113" s="12" t="s">
        <v>209</v>
      </c>
      <c r="J113" s="12" t="s">
        <v>14</v>
      </c>
      <c r="K113" s="1" t="str">
        <f t="shared" si="2"/>
        <v>JK115L-2_JK115L_ELS117_PG1341_835_16541_sample</v>
      </c>
    </row>
    <row r="114" spans="1:11">
      <c r="A114" t="s">
        <v>128</v>
      </c>
      <c r="B114" s="3" t="s">
        <v>0</v>
      </c>
      <c r="C114" s="3" t="s">
        <v>146</v>
      </c>
      <c r="D114" s="3" t="s">
        <v>147</v>
      </c>
      <c r="E114" s="14">
        <v>835</v>
      </c>
      <c r="F114" s="16">
        <v>16541</v>
      </c>
      <c r="G114" s="12" t="s">
        <v>176</v>
      </c>
      <c r="H114" s="12" t="s">
        <v>186</v>
      </c>
      <c r="I114" s="12" t="s">
        <v>209</v>
      </c>
      <c r="J114" s="12" t="s">
        <v>14</v>
      </c>
      <c r="K114" s="1" t="str">
        <f t="shared" si="2"/>
        <v>JK115L-2_JK115L_ELS117_PG1341_835_16541_sample</v>
      </c>
    </row>
    <row r="115" spans="1:11">
      <c r="A115" t="s">
        <v>129</v>
      </c>
      <c r="B115" s="3" t="s">
        <v>7</v>
      </c>
      <c r="C115" s="3" t="s">
        <v>146</v>
      </c>
      <c r="D115" s="3" t="s">
        <v>147</v>
      </c>
      <c r="E115" s="14">
        <v>835</v>
      </c>
      <c r="F115" s="16">
        <v>16541</v>
      </c>
      <c r="G115" s="12" t="s">
        <v>176</v>
      </c>
      <c r="H115" s="12" t="s">
        <v>186</v>
      </c>
      <c r="I115" s="12" t="s">
        <v>209</v>
      </c>
      <c r="J115" s="12" t="s">
        <v>14</v>
      </c>
      <c r="K115" s="1" t="str">
        <f t="shared" si="2"/>
        <v>JK115L-2_JK115L_ELS117_PG1341_835_16541_sample</v>
      </c>
    </row>
    <row r="116" spans="1:11">
      <c r="A116" t="s">
        <v>130</v>
      </c>
      <c r="B116" s="3" t="s">
        <v>0</v>
      </c>
      <c r="C116" s="3" t="s">
        <v>146</v>
      </c>
      <c r="D116" s="3" t="s">
        <v>147</v>
      </c>
      <c r="E116" s="14">
        <v>475</v>
      </c>
      <c r="F116" s="16">
        <v>13588</v>
      </c>
      <c r="G116" s="12" t="s">
        <v>177</v>
      </c>
      <c r="H116" s="12" t="s">
        <v>186</v>
      </c>
      <c r="I116" s="12" t="s">
        <v>210</v>
      </c>
      <c r="J116" s="12" t="s">
        <v>14</v>
      </c>
      <c r="K116" s="1" t="str">
        <f t="shared" si="2"/>
        <v>JK115L-4_JK115L_ELS121_PG1341_475_13588_sample</v>
      </c>
    </row>
    <row r="117" spans="1:11">
      <c r="A117" t="s">
        <v>131</v>
      </c>
      <c r="B117" s="3" t="s">
        <v>7</v>
      </c>
      <c r="C117" s="3" t="s">
        <v>146</v>
      </c>
      <c r="D117" s="3" t="s">
        <v>147</v>
      </c>
      <c r="E117" s="14">
        <v>475</v>
      </c>
      <c r="F117" s="16">
        <v>13588</v>
      </c>
      <c r="G117" s="12" t="s">
        <v>177</v>
      </c>
      <c r="H117" s="12" t="s">
        <v>186</v>
      </c>
      <c r="I117" s="12" t="s">
        <v>210</v>
      </c>
      <c r="J117" s="12" t="s">
        <v>14</v>
      </c>
      <c r="K117" s="1" t="str">
        <f t="shared" si="2"/>
        <v>JK115L-4_JK115L_ELS121_PG1341_475_13588_sample</v>
      </c>
    </row>
    <row r="118" spans="1:11">
      <c r="A118" t="s">
        <v>132</v>
      </c>
      <c r="B118" s="3" t="s">
        <v>0</v>
      </c>
      <c r="C118" s="3" t="s">
        <v>146</v>
      </c>
      <c r="D118" s="3" t="s">
        <v>147</v>
      </c>
      <c r="E118" s="14">
        <v>475</v>
      </c>
      <c r="F118" s="16">
        <v>13588</v>
      </c>
      <c r="G118" s="12" t="s">
        <v>177</v>
      </c>
      <c r="H118" s="12" t="s">
        <v>186</v>
      </c>
      <c r="I118" s="12" t="s">
        <v>210</v>
      </c>
      <c r="J118" s="12" t="s">
        <v>14</v>
      </c>
      <c r="K118" s="1" t="str">
        <f t="shared" si="2"/>
        <v>JK115L-4_JK115L_ELS121_PG1341_475_13588_sample</v>
      </c>
    </row>
    <row r="119" spans="1:11">
      <c r="A119" t="s">
        <v>133</v>
      </c>
      <c r="B119" s="3" t="s">
        <v>7</v>
      </c>
      <c r="C119" s="3" t="s">
        <v>146</v>
      </c>
      <c r="D119" s="3" t="s">
        <v>147</v>
      </c>
      <c r="E119" s="14">
        <v>475</v>
      </c>
      <c r="F119" s="16">
        <v>13588</v>
      </c>
      <c r="G119" s="12" t="s">
        <v>177</v>
      </c>
      <c r="H119" s="12" t="s">
        <v>186</v>
      </c>
      <c r="I119" s="12" t="s">
        <v>210</v>
      </c>
      <c r="J119" s="12" t="s">
        <v>14</v>
      </c>
      <c r="K119" s="1" t="str">
        <f t="shared" si="2"/>
        <v>JK115L-4_JK115L_ELS121_PG1341_475_13588_sample</v>
      </c>
    </row>
    <row r="120" spans="1:11">
      <c r="A120" t="s">
        <v>134</v>
      </c>
      <c r="B120" s="3" t="s">
        <v>0</v>
      </c>
      <c r="C120" s="3" t="s">
        <v>146</v>
      </c>
      <c r="D120" s="3" t="s">
        <v>147</v>
      </c>
      <c r="E120" s="13" t="s">
        <v>5</v>
      </c>
      <c r="F120" s="13" t="s">
        <v>5</v>
      </c>
      <c r="G120" s="12" t="s">
        <v>178</v>
      </c>
      <c r="H120" s="12" t="s">
        <v>186</v>
      </c>
      <c r="I120" s="12" t="s">
        <v>211</v>
      </c>
      <c r="J120" s="12" t="s">
        <v>15</v>
      </c>
      <c r="K120" s="1" t="str">
        <f t="shared" si="2"/>
        <v>JK115L-5_JK115L_ELS119/129_PG1341_NA_NA_blank</v>
      </c>
    </row>
    <row r="121" spans="1:11">
      <c r="A121" t="s">
        <v>135</v>
      </c>
      <c r="B121" s="3" t="s">
        <v>7</v>
      </c>
      <c r="C121" s="3" t="s">
        <v>146</v>
      </c>
      <c r="D121" s="3" t="s">
        <v>147</v>
      </c>
      <c r="E121" s="13" t="s">
        <v>5</v>
      </c>
      <c r="F121" s="13" t="s">
        <v>5</v>
      </c>
      <c r="G121" s="12" t="s">
        <v>178</v>
      </c>
      <c r="H121" s="12" t="s">
        <v>186</v>
      </c>
      <c r="I121" s="12" t="s">
        <v>211</v>
      </c>
      <c r="J121" s="12" t="s">
        <v>15</v>
      </c>
      <c r="K121" s="1" t="str">
        <f t="shared" si="2"/>
        <v>JK115L-5_JK115L_ELS119/129_PG1341_NA_NA_blank</v>
      </c>
    </row>
    <row r="122" spans="1:11">
      <c r="A122" t="s">
        <v>136</v>
      </c>
      <c r="B122" s="3" t="s">
        <v>0</v>
      </c>
      <c r="C122" s="3" t="s">
        <v>146</v>
      </c>
      <c r="D122" s="3" t="s">
        <v>147</v>
      </c>
      <c r="E122" s="13" t="s">
        <v>5</v>
      </c>
      <c r="F122" s="13" t="s">
        <v>5</v>
      </c>
      <c r="G122" s="12" t="s">
        <v>178</v>
      </c>
      <c r="H122" s="12" t="s">
        <v>186</v>
      </c>
      <c r="I122" s="12" t="s">
        <v>211</v>
      </c>
      <c r="J122" s="12" t="s">
        <v>15</v>
      </c>
      <c r="K122" s="1" t="str">
        <f t="shared" si="2"/>
        <v>JK115L-5_JK115L_ELS119/129_PG1341_NA_NA_blank</v>
      </c>
    </row>
    <row r="123" spans="1:11">
      <c r="A123" t="s">
        <v>137</v>
      </c>
      <c r="B123" s="3" t="s">
        <v>7</v>
      </c>
      <c r="C123" s="3" t="s">
        <v>146</v>
      </c>
      <c r="D123" s="3" t="s">
        <v>147</v>
      </c>
      <c r="E123" s="13" t="s">
        <v>5</v>
      </c>
      <c r="F123" s="13" t="s">
        <v>5</v>
      </c>
      <c r="G123" s="12" t="s">
        <v>178</v>
      </c>
      <c r="H123" s="12" t="s">
        <v>186</v>
      </c>
      <c r="I123" s="12" t="s">
        <v>211</v>
      </c>
      <c r="J123" s="12" t="s">
        <v>15</v>
      </c>
      <c r="K123" s="1" t="str">
        <f t="shared" si="2"/>
        <v>JK115L-5_JK115L_ELS119/129_PG1341_NA_NA_blank</v>
      </c>
    </row>
    <row r="124" spans="1:11">
      <c r="A124" t="s">
        <v>138</v>
      </c>
      <c r="B124" s="3" t="s">
        <v>0</v>
      </c>
      <c r="C124" s="3" t="s">
        <v>146</v>
      </c>
      <c r="D124" s="3" t="s">
        <v>147</v>
      </c>
      <c r="E124" s="13" t="s">
        <v>5</v>
      </c>
      <c r="F124" s="13" t="s">
        <v>5</v>
      </c>
      <c r="G124" s="12" t="s">
        <v>179</v>
      </c>
      <c r="H124" s="12" t="s">
        <v>186</v>
      </c>
      <c r="I124" s="12" t="s">
        <v>190</v>
      </c>
      <c r="J124" s="12" t="s">
        <v>15</v>
      </c>
      <c r="K124" s="1" t="str">
        <f t="shared" si="2"/>
        <v>JK115L-8_JK115L_library blank_PG1341_NA_NA_blank</v>
      </c>
    </row>
    <row r="125" spans="1:11">
      <c r="A125" t="s">
        <v>139</v>
      </c>
      <c r="B125" s="3" t="s">
        <v>7</v>
      </c>
      <c r="C125" s="3" t="s">
        <v>146</v>
      </c>
      <c r="D125" s="3" t="s">
        <v>147</v>
      </c>
      <c r="E125" s="13" t="s">
        <v>5</v>
      </c>
      <c r="F125" s="13" t="s">
        <v>5</v>
      </c>
      <c r="G125" s="12" t="s">
        <v>179</v>
      </c>
      <c r="H125" s="12" t="s">
        <v>186</v>
      </c>
      <c r="I125" s="12" t="s">
        <v>190</v>
      </c>
      <c r="J125" s="12" t="s">
        <v>15</v>
      </c>
      <c r="K125" s="1" t="str">
        <f t="shared" si="2"/>
        <v>JK115L-8_JK115L_library blank_PG1341_NA_NA_blank</v>
      </c>
    </row>
    <row r="126" spans="1:11">
      <c r="A126" t="s">
        <v>140</v>
      </c>
      <c r="B126" s="3" t="s">
        <v>0</v>
      </c>
      <c r="C126" s="3" t="s">
        <v>146</v>
      </c>
      <c r="D126" s="3" t="s">
        <v>147</v>
      </c>
      <c r="E126" s="13" t="s">
        <v>5</v>
      </c>
      <c r="F126" s="13" t="s">
        <v>5</v>
      </c>
      <c r="G126" s="12" t="s">
        <v>179</v>
      </c>
      <c r="H126" s="12" t="s">
        <v>186</v>
      </c>
      <c r="I126" s="12" t="s">
        <v>190</v>
      </c>
      <c r="J126" s="12" t="s">
        <v>15</v>
      </c>
      <c r="K126" s="1" t="str">
        <f t="shared" si="2"/>
        <v>JK115L-8_JK115L_library blank_PG1341_NA_NA_blank</v>
      </c>
    </row>
    <row r="127" spans="1:11">
      <c r="A127" t="s">
        <v>141</v>
      </c>
      <c r="B127" s="3" t="s">
        <v>7</v>
      </c>
      <c r="C127" s="3" t="s">
        <v>146</v>
      </c>
      <c r="D127" s="3" t="s">
        <v>147</v>
      </c>
      <c r="E127" s="13" t="s">
        <v>5</v>
      </c>
      <c r="F127" s="13" t="s">
        <v>5</v>
      </c>
      <c r="G127" s="12" t="s">
        <v>179</v>
      </c>
      <c r="H127" s="12" t="s">
        <v>186</v>
      </c>
      <c r="I127" s="12" t="s">
        <v>190</v>
      </c>
      <c r="J127" s="12" t="s">
        <v>15</v>
      </c>
      <c r="K127" s="1" t="str">
        <f t="shared" si="2"/>
        <v>JK115L-8_JK115L_library blank_PG1341_NA_NA_blank</v>
      </c>
    </row>
    <row r="128" spans="1:11">
      <c r="A128" t="s">
        <v>142</v>
      </c>
      <c r="B128" s="3" t="s">
        <v>0</v>
      </c>
      <c r="C128" s="3" t="s">
        <v>146</v>
      </c>
      <c r="D128" s="3" t="s">
        <v>147</v>
      </c>
      <c r="E128" s="13" t="s">
        <v>5</v>
      </c>
      <c r="F128" s="13" t="s">
        <v>5</v>
      </c>
      <c r="G128" s="12" t="s">
        <v>5</v>
      </c>
      <c r="H128" s="12" t="s">
        <v>5</v>
      </c>
      <c r="I128" s="12" t="s">
        <v>5</v>
      </c>
      <c r="J128" s="12" t="s">
        <v>5</v>
      </c>
      <c r="K128" s="1" t="str">
        <f t="shared" si="2"/>
        <v>NA_NA_NA_PG1341_NA_NA_NA</v>
      </c>
    </row>
    <row r="129" spans="1:11">
      <c r="A129" t="s">
        <v>143</v>
      </c>
      <c r="B129" s="3" t="s">
        <v>7</v>
      </c>
      <c r="C129" s="3" t="s">
        <v>146</v>
      </c>
      <c r="D129" s="3" t="s">
        <v>147</v>
      </c>
      <c r="E129" s="13" t="s">
        <v>5</v>
      </c>
      <c r="F129" s="13" t="s">
        <v>5</v>
      </c>
      <c r="G129" s="12" t="s">
        <v>5</v>
      </c>
      <c r="H129" s="12" t="s">
        <v>5</v>
      </c>
      <c r="I129" s="12" t="s">
        <v>5</v>
      </c>
      <c r="J129" s="12" t="s">
        <v>5</v>
      </c>
      <c r="K129" s="1" t="str">
        <f t="shared" si="2"/>
        <v>NA_NA_NA_PG1341_NA_NA_NA</v>
      </c>
    </row>
    <row r="130" spans="1:11">
      <c r="A130" t="s">
        <v>144</v>
      </c>
      <c r="B130" s="3" t="s">
        <v>0</v>
      </c>
      <c r="C130" s="3" t="s">
        <v>146</v>
      </c>
      <c r="D130" s="3" t="s">
        <v>147</v>
      </c>
      <c r="E130" s="13" t="s">
        <v>5</v>
      </c>
      <c r="F130" s="13" t="s">
        <v>5</v>
      </c>
      <c r="G130" s="12" t="s">
        <v>5</v>
      </c>
      <c r="H130" s="12" t="s">
        <v>5</v>
      </c>
      <c r="I130" s="12" t="s">
        <v>5</v>
      </c>
      <c r="J130" s="12" t="s">
        <v>5</v>
      </c>
      <c r="K130" s="1" t="str">
        <f t="shared" si="2"/>
        <v>NA_NA_NA_PG1341_NA_NA_NA</v>
      </c>
    </row>
    <row r="131" spans="1:11">
      <c r="A131" t="s">
        <v>145</v>
      </c>
      <c r="B131" s="3" t="s">
        <v>7</v>
      </c>
      <c r="C131" s="3" t="s">
        <v>146</v>
      </c>
      <c r="D131" s="3" t="s">
        <v>147</v>
      </c>
      <c r="E131" s="13" t="s">
        <v>5</v>
      </c>
      <c r="F131" s="13" t="s">
        <v>5</v>
      </c>
      <c r="G131" s="12" t="s">
        <v>5</v>
      </c>
      <c r="H131" s="12" t="s">
        <v>5</v>
      </c>
      <c r="I131" s="12" t="s">
        <v>5</v>
      </c>
      <c r="J131" s="12" t="s">
        <v>5</v>
      </c>
      <c r="K131" s="1" t="str">
        <f t="shared" si="2"/>
        <v>NA_NA_NA_PG1341_NA_NA_NA</v>
      </c>
    </row>
    <row r="132" spans="1:11">
      <c r="B132" s="3"/>
      <c r="D132" s="3"/>
    </row>
    <row r="133" spans="1:11">
      <c r="B133" s="3"/>
      <c r="D133" s="3"/>
    </row>
    <row r="134" spans="1:11">
      <c r="D134" s="3"/>
    </row>
    <row r="135" spans="1:11">
      <c r="D135" s="3"/>
    </row>
    <row r="136" spans="1:11">
      <c r="D136" s="3"/>
    </row>
  </sheetData>
  <sortState ref="A2:G23">
    <sortCondition ref="F2:F23"/>
  </sortState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Stoof-Leichsenring</dc:creator>
  <cp:lastModifiedBy>Ugur Cabuk</cp:lastModifiedBy>
  <dcterms:created xsi:type="dcterms:W3CDTF">2021-05-27T09:18:38Z</dcterms:created>
  <dcterms:modified xsi:type="dcterms:W3CDTF">2025-03-30T17:57:20Z</dcterms:modified>
</cp:coreProperties>
</file>